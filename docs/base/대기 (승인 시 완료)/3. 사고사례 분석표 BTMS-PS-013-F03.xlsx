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4. 안전보건관리실\104 사고 조사 및 이력 (산재요양승인 내역)\"/>
    </mc:Choice>
  </mc:AlternateContent>
  <xr:revisionPtr revIDLastSave="0" documentId="13_ncr:1_{C4E3747A-906A-41CB-8E58-A31C28AC5E5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2023" sheetId="1" r:id="rId1"/>
    <sheet name="2024" sheetId="2" r:id="rId2"/>
    <sheet name="2025" sheetId="6" r:id="rId3"/>
    <sheet name="2026" sheetId="10" r:id="rId4"/>
    <sheet name="Sheet1" sheetId="8" r:id="rId5"/>
    <sheet name="작업별 사고분석" sheetId="7" r:id="rId6"/>
    <sheet name="롯데바이오" sheetId="9" r:id="rId7"/>
  </sheets>
  <definedNames>
    <definedName name="_xlnm._FilterDatabase" localSheetId="0" hidden="1">'2023'!$B$2:$T$30</definedName>
    <definedName name="_xlnm._FilterDatabase" localSheetId="1" hidden="1">'2024'!$A$2:$X$27</definedName>
    <definedName name="_xlnm._FilterDatabase" localSheetId="2" hidden="1">'2025'!$A$2:$Y$32</definedName>
    <definedName name="_xlnm._FilterDatabase" localSheetId="3" hidden="1">'2026'!$A$2:$Y$15</definedName>
    <definedName name="_xlnm._FilterDatabase" localSheetId="6" hidden="1">롯데바이오!$A$2:$Y$14</definedName>
    <definedName name="_xlnm._FilterDatabase" localSheetId="5" hidden="1">'작업별 사고분석'!$B$2:$F$22</definedName>
    <definedName name="_xlnm.Print_Area" localSheetId="0">'2023'!$B$1:$R$30</definedName>
    <definedName name="_xlnm.Print_Area" localSheetId="1">'2024'!$A$1:$W$28</definedName>
    <definedName name="_xlnm.Print_Area" localSheetId="2">'2025'!$A$1:$Y$11</definedName>
    <definedName name="_xlnm.Print_Area" localSheetId="3">'2026'!$A$1:$Y$2</definedName>
    <definedName name="_xlnm.Print_Area" localSheetId="6">롯데바이오!$A$1:$Z$14</definedName>
    <definedName name="_xlnm.Print_Titles" localSheetId="0">'2023'!$1:$2</definedName>
    <definedName name="_xlnm.Print_Titles" localSheetId="1">'2024'!$1:$2</definedName>
    <definedName name="_xlnm.Print_Titles" localSheetId="2">'2025'!$1:$2</definedName>
    <definedName name="_xlnm.Print_Titles" localSheetId="3">'2026'!$1:$2</definedName>
    <definedName name="_xlnm.Print_Titles" localSheetId="6">롯데바이오!$1:$2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6" i="10" l="1"/>
  <c r="Y5" i="10"/>
  <c r="Y4" i="10"/>
  <c r="K6" i="10"/>
  <c r="F4" i="10" l="1"/>
  <c r="S4" i="10"/>
  <c r="V4" i="10"/>
  <c r="Q28" i="10"/>
  <c r="R27" i="10"/>
  <c r="R26" i="10"/>
  <c r="R25" i="10"/>
  <c r="R24" i="10"/>
  <c r="R23" i="10"/>
  <c r="R22" i="10"/>
  <c r="R21" i="10"/>
  <c r="R20" i="10"/>
  <c r="R19" i="10"/>
  <c r="R18" i="10"/>
  <c r="H18" i="10"/>
  <c r="V15" i="10"/>
  <c r="S15" i="10"/>
  <c r="Y15" i="10" s="1"/>
  <c r="K15" i="10"/>
  <c r="V14" i="10"/>
  <c r="S14" i="10"/>
  <c r="Y14" i="10" s="1"/>
  <c r="F14" i="10"/>
  <c r="D14" i="10"/>
  <c r="V13" i="10"/>
  <c r="S13" i="10"/>
  <c r="Y13" i="10" s="1"/>
  <c r="F13" i="10"/>
  <c r="D13" i="10"/>
  <c r="V12" i="10"/>
  <c r="S12" i="10"/>
  <c r="Y12" i="10" s="1"/>
  <c r="F12" i="10"/>
  <c r="D12" i="10"/>
  <c r="V11" i="10"/>
  <c r="S11" i="10"/>
  <c r="Y11" i="10" s="1"/>
  <c r="F11" i="10"/>
  <c r="D11" i="10"/>
  <c r="Y10" i="10"/>
  <c r="V10" i="10"/>
  <c r="S10" i="10"/>
  <c r="F10" i="10"/>
  <c r="D10" i="10"/>
  <c r="V9" i="10"/>
  <c r="S9" i="10"/>
  <c r="Y9" i="10" s="1"/>
  <c r="F9" i="10"/>
  <c r="D9" i="10"/>
  <c r="V8" i="10"/>
  <c r="S8" i="10"/>
  <c r="Y8" i="10" s="1"/>
  <c r="F8" i="10"/>
  <c r="D8" i="10"/>
  <c r="V7" i="10"/>
  <c r="S7" i="10"/>
  <c r="Y7" i="10" s="1"/>
  <c r="F7" i="10"/>
  <c r="D7" i="10"/>
  <c r="V6" i="10"/>
  <c r="S6" i="10"/>
  <c r="F6" i="10"/>
  <c r="V5" i="10"/>
  <c r="S5" i="10"/>
  <c r="F5" i="10"/>
  <c r="V3" i="10"/>
  <c r="S3" i="10"/>
  <c r="Y3" i="10" s="1"/>
  <c r="F3" i="10"/>
  <c r="K1" i="10"/>
  <c r="D4" i="10" s="1"/>
  <c r="V19" i="6"/>
  <c r="S19" i="6"/>
  <c r="F19" i="6"/>
  <c r="V20" i="6"/>
  <c r="S20" i="6"/>
  <c r="Y20" i="6" s="1"/>
  <c r="F20" i="6"/>
  <c r="S10" i="9"/>
  <c r="Y10" i="9" s="1"/>
  <c r="K10" i="9"/>
  <c r="K14" i="9" s="1"/>
  <c r="F10" i="9"/>
  <c r="S7" i="9"/>
  <c r="Y7" i="9" s="1"/>
  <c r="V7" i="9"/>
  <c r="F7" i="9"/>
  <c r="S11" i="9"/>
  <c r="Y11" i="9" s="1"/>
  <c r="V11" i="9"/>
  <c r="F11" i="9"/>
  <c r="V12" i="9"/>
  <c r="S12" i="9"/>
  <c r="Y12" i="9" s="1"/>
  <c r="F12" i="9"/>
  <c r="Q27" i="9"/>
  <c r="R26" i="9"/>
  <c r="R25" i="9"/>
  <c r="R24" i="9"/>
  <c r="R23" i="9"/>
  <c r="R22" i="9"/>
  <c r="R21" i="9"/>
  <c r="R20" i="9"/>
  <c r="R19" i="9"/>
  <c r="R18" i="9"/>
  <c r="R17" i="9"/>
  <c r="H17" i="9"/>
  <c r="L14" i="9"/>
  <c r="V13" i="9"/>
  <c r="S13" i="9"/>
  <c r="Y13" i="9" s="1"/>
  <c r="F13" i="9"/>
  <c r="V9" i="9"/>
  <c r="S9" i="9"/>
  <c r="Y9" i="9" s="1"/>
  <c r="F9" i="9"/>
  <c r="V8" i="9"/>
  <c r="S8" i="9"/>
  <c r="Y8" i="9" s="1"/>
  <c r="F8" i="9"/>
  <c r="V6" i="9"/>
  <c r="S6" i="9"/>
  <c r="Y6" i="9" s="1"/>
  <c r="F6" i="9"/>
  <c r="V5" i="9"/>
  <c r="S5" i="9"/>
  <c r="Y5" i="9" s="1"/>
  <c r="F5" i="9"/>
  <c r="V4" i="9"/>
  <c r="S4" i="9"/>
  <c r="Y4" i="9" s="1"/>
  <c r="F4" i="9"/>
  <c r="V3" i="9"/>
  <c r="S3" i="9"/>
  <c r="Y3" i="9" s="1"/>
  <c r="F3" i="9"/>
  <c r="K1" i="9"/>
  <c r="D13" i="9" s="1"/>
  <c r="V18" i="6"/>
  <c r="S18" i="6"/>
  <c r="Y18" i="6" s="1"/>
  <c r="Q8" i="8"/>
  <c r="Q7" i="8"/>
  <c r="Q6" i="8"/>
  <c r="Q5" i="8"/>
  <c r="Q4" i="8"/>
  <c r="Q3" i="8"/>
  <c r="Q2" i="8"/>
  <c r="Q1" i="8"/>
  <c r="S11" i="8"/>
  <c r="G11" i="8"/>
  <c r="S10" i="8"/>
  <c r="G10" i="8"/>
  <c r="S9" i="8"/>
  <c r="G9" i="8"/>
  <c r="U12" i="8"/>
  <c r="R12" i="8"/>
  <c r="X12" i="8" s="1"/>
  <c r="F12" i="8"/>
  <c r="D12" i="8"/>
  <c r="F18" i="6"/>
  <c r="R3" i="2"/>
  <c r="R4" i="2"/>
  <c r="R5" i="2"/>
  <c r="R6" i="2"/>
  <c r="R7" i="2"/>
  <c r="R8" i="2"/>
  <c r="R9" i="2"/>
  <c r="R11" i="2"/>
  <c r="R12" i="2"/>
  <c r="R13" i="2"/>
  <c r="R14" i="2"/>
  <c r="R15" i="2"/>
  <c r="R16" i="2"/>
  <c r="R17" i="2"/>
  <c r="R18" i="2"/>
  <c r="R19" i="2"/>
  <c r="R20" i="2"/>
  <c r="R21" i="2"/>
  <c r="R23" i="2"/>
  <c r="R22" i="2"/>
  <c r="R24" i="2"/>
  <c r="R25" i="2"/>
  <c r="R26" i="2"/>
  <c r="R10" i="2"/>
  <c r="D10" i="2"/>
  <c r="N1" i="2"/>
  <c r="D21" i="6"/>
  <c r="D22" i="6"/>
  <c r="D23" i="6"/>
  <c r="D24" i="6"/>
  <c r="D25" i="6"/>
  <c r="D26" i="6"/>
  <c r="D27" i="6"/>
  <c r="D28" i="6"/>
  <c r="D29" i="6"/>
  <c r="D30" i="6"/>
  <c r="D31" i="6"/>
  <c r="K1" i="6"/>
  <c r="D4" i="6" s="1"/>
  <c r="F3" i="2"/>
  <c r="F4" i="2"/>
  <c r="F5" i="2"/>
  <c r="F6" i="2"/>
  <c r="F7" i="2"/>
  <c r="F8" i="2"/>
  <c r="F9" i="2"/>
  <c r="F10" i="2"/>
  <c r="F11" i="2"/>
  <c r="F13" i="2"/>
  <c r="F14" i="2"/>
  <c r="F15" i="2"/>
  <c r="F16" i="2"/>
  <c r="F17" i="2"/>
  <c r="F18" i="2"/>
  <c r="F19" i="2"/>
  <c r="F20" i="2"/>
  <c r="F21" i="2"/>
  <c r="F23" i="2"/>
  <c r="F22" i="2"/>
  <c r="F24" i="2"/>
  <c r="F25" i="2"/>
  <c r="F26" i="2"/>
  <c r="F12" i="2"/>
  <c r="F4" i="6"/>
  <c r="F3" i="6"/>
  <c r="F5" i="6"/>
  <c r="F6" i="6"/>
  <c r="F7" i="6"/>
  <c r="F8" i="6"/>
  <c r="F9" i="6"/>
  <c r="F10" i="6"/>
  <c r="F11" i="6"/>
  <c r="F12" i="6"/>
  <c r="F13" i="6"/>
  <c r="F15" i="6"/>
  <c r="F16" i="6"/>
  <c r="F14" i="6"/>
  <c r="F17" i="6"/>
  <c r="F21" i="6"/>
  <c r="F22" i="6"/>
  <c r="F23" i="6"/>
  <c r="F24" i="6"/>
  <c r="F25" i="6"/>
  <c r="F26" i="6"/>
  <c r="F27" i="6"/>
  <c r="F28" i="6"/>
  <c r="F29" i="6"/>
  <c r="F30" i="6"/>
  <c r="F31" i="6"/>
  <c r="V11" i="6"/>
  <c r="S11" i="6"/>
  <c r="Y11" i="6" s="1"/>
  <c r="D6" i="10" l="1"/>
  <c r="D5" i="10"/>
  <c r="R28" i="10"/>
  <c r="D3" i="10"/>
  <c r="D19" i="6"/>
  <c r="D20" i="6"/>
  <c r="D10" i="9"/>
  <c r="D7" i="9"/>
  <c r="D11" i="9"/>
  <c r="D12" i="9"/>
  <c r="R27" i="9"/>
  <c r="D4" i="9"/>
  <c r="D3" i="9"/>
  <c r="D6" i="9"/>
  <c r="D9" i="9"/>
  <c r="D8" i="9"/>
  <c r="D5" i="9"/>
  <c r="D18" i="6"/>
  <c r="D9" i="2"/>
  <c r="D8" i="2"/>
  <c r="D7" i="2"/>
  <c r="D6" i="2"/>
  <c r="D5" i="2"/>
  <c r="D4" i="2"/>
  <c r="D3" i="2"/>
  <c r="D25" i="2"/>
  <c r="D26" i="2"/>
  <c r="D24" i="2"/>
  <c r="D22" i="2"/>
  <c r="D16" i="2"/>
  <c r="D23" i="2"/>
  <c r="D15" i="2"/>
  <c r="D17" i="2"/>
  <c r="D21" i="2"/>
  <c r="D14" i="2"/>
  <c r="D20" i="2"/>
  <c r="D13" i="2"/>
  <c r="D19" i="2"/>
  <c r="D12" i="2"/>
  <c r="D18" i="2"/>
  <c r="D11" i="2"/>
  <c r="D11" i="6"/>
  <c r="D10" i="6"/>
  <c r="D9" i="6"/>
  <c r="D8" i="6"/>
  <c r="D7" i="6"/>
  <c r="D12" i="6"/>
  <c r="D14" i="6"/>
  <c r="D6" i="6"/>
  <c r="D13" i="6"/>
  <c r="D17" i="6"/>
  <c r="D16" i="6"/>
  <c r="D5" i="6"/>
  <c r="D15" i="6"/>
  <c r="D3" i="6"/>
  <c r="D23" i="7"/>
  <c r="E23" i="7"/>
  <c r="C23" i="7"/>
  <c r="F5" i="7" l="1"/>
  <c r="F4" i="7"/>
  <c r="F8" i="7"/>
  <c r="F9" i="7"/>
  <c r="F14" i="7"/>
  <c r="F15" i="7"/>
  <c r="F10" i="7"/>
  <c r="F7" i="7"/>
  <c r="F11" i="7"/>
  <c r="F6" i="7"/>
  <c r="F12" i="7"/>
  <c r="F16" i="7"/>
  <c r="F13" i="7"/>
  <c r="F17" i="7"/>
  <c r="F18" i="7"/>
  <c r="F19" i="7"/>
  <c r="F20" i="7"/>
  <c r="F21" i="7"/>
  <c r="F22" i="7"/>
  <c r="F3" i="7"/>
  <c r="F23" i="7" l="1"/>
  <c r="G18" i="7" s="1"/>
  <c r="V5" i="6"/>
  <c r="S5" i="6"/>
  <c r="Y5" i="6" s="1"/>
  <c r="G12" i="7" l="1"/>
  <c r="G22" i="7"/>
  <c r="G13" i="7"/>
  <c r="G15" i="7"/>
  <c r="G14" i="7"/>
  <c r="G3" i="7"/>
  <c r="G10" i="7"/>
  <c r="G6" i="7"/>
  <c r="G5" i="7"/>
  <c r="G17" i="7"/>
  <c r="G8" i="7"/>
  <c r="G9" i="7"/>
  <c r="G11" i="7"/>
  <c r="G19" i="7"/>
  <c r="G16" i="7"/>
  <c r="G20" i="7"/>
  <c r="G4" i="7"/>
  <c r="G21" i="7"/>
  <c r="G7" i="7"/>
  <c r="S21" i="6"/>
  <c r="Y21" i="6" s="1"/>
  <c r="S22" i="6"/>
  <c r="Y22" i="6" s="1"/>
  <c r="V3" i="6"/>
  <c r="V6" i="6"/>
  <c r="V7" i="6"/>
  <c r="V8" i="6"/>
  <c r="V9" i="6"/>
  <c r="V10" i="6"/>
  <c r="V12" i="6"/>
  <c r="V13" i="6"/>
  <c r="V15" i="6"/>
  <c r="V16" i="6"/>
  <c r="V14" i="6"/>
  <c r="V17" i="6"/>
  <c r="V21" i="6"/>
  <c r="V22" i="6"/>
  <c r="V23" i="6"/>
  <c r="V24" i="6"/>
  <c r="V25" i="6"/>
  <c r="V26" i="6"/>
  <c r="V27" i="6"/>
  <c r="V28" i="6"/>
  <c r="V29" i="6"/>
  <c r="V30" i="6"/>
  <c r="V31" i="6"/>
  <c r="V32" i="6"/>
  <c r="V4" i="6" l="1"/>
  <c r="J27" i="2" l="1"/>
  <c r="R27" i="2"/>
  <c r="Q45" i="6" l="1"/>
  <c r="R44" i="6"/>
  <c r="R43" i="6"/>
  <c r="R42" i="6"/>
  <c r="R41" i="6"/>
  <c r="R40" i="6"/>
  <c r="R39" i="6"/>
  <c r="R38" i="6"/>
  <c r="R37" i="6"/>
  <c r="R36" i="6"/>
  <c r="R35" i="6"/>
  <c r="H35" i="6"/>
  <c r="S32" i="6"/>
  <c r="Y32" i="6" s="1"/>
  <c r="K32" i="6"/>
  <c r="S31" i="6"/>
  <c r="Y31" i="6" s="1"/>
  <c r="S30" i="6"/>
  <c r="Y30" i="6" s="1"/>
  <c r="S29" i="6"/>
  <c r="Y29" i="6" s="1"/>
  <c r="S28" i="6"/>
  <c r="Y28" i="6" s="1"/>
  <c r="S27" i="6"/>
  <c r="Y27" i="6" s="1"/>
  <c r="S26" i="6"/>
  <c r="Y26" i="6" s="1"/>
  <c r="S25" i="6"/>
  <c r="Y25" i="6" s="1"/>
  <c r="S24" i="6"/>
  <c r="Y24" i="6" s="1"/>
  <c r="S23" i="6"/>
  <c r="Y23" i="6" s="1"/>
  <c r="S17" i="6"/>
  <c r="Y17" i="6" s="1"/>
  <c r="S14" i="6"/>
  <c r="Y14" i="6" s="1"/>
  <c r="S16" i="6"/>
  <c r="Y16" i="6" s="1"/>
  <c r="S15" i="6"/>
  <c r="Y15" i="6" s="1"/>
  <c r="S13" i="6"/>
  <c r="Y13" i="6" s="1"/>
  <c r="S12" i="6"/>
  <c r="Y12" i="6" s="1"/>
  <c r="S10" i="6"/>
  <c r="Y10" i="6" s="1"/>
  <c r="S9" i="6"/>
  <c r="Y9" i="6" s="1"/>
  <c r="S8" i="6"/>
  <c r="Y8" i="6" s="1"/>
  <c r="S7" i="6"/>
  <c r="Y7" i="6" s="1"/>
  <c r="S6" i="6"/>
  <c r="Y6" i="6" s="1"/>
  <c r="S3" i="6"/>
  <c r="Y3" i="6" s="1"/>
  <c r="S4" i="6"/>
  <c r="Y4" i="6" s="1"/>
  <c r="R45" i="6" l="1"/>
  <c r="R30" i="1" l="1"/>
  <c r="R28" i="1" l="1"/>
  <c r="R29" i="1" l="1"/>
  <c r="R27" i="1"/>
  <c r="R23" i="1" l="1"/>
  <c r="R4" i="1" l="1"/>
  <c r="R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4" i="1"/>
  <c r="R25" i="1"/>
  <c r="R26" i="1"/>
  <c r="R6" i="1"/>
  <c r="R3" i="1"/>
</calcChain>
</file>

<file path=xl/sharedStrings.xml><?xml version="1.0" encoding="utf-8"?>
<sst xmlns="http://schemas.openxmlformats.org/spreadsheetml/2006/main" count="1324" uniqueCount="570">
  <si>
    <t>고후섭</t>
    <phoneticPr fontId="1" type="noConversion"/>
  </si>
  <si>
    <t>염병근</t>
    <phoneticPr fontId="1" type="noConversion"/>
  </si>
  <si>
    <t>길생완</t>
    <phoneticPr fontId="1" type="noConversion"/>
  </si>
  <si>
    <t>박상근</t>
    <phoneticPr fontId="1" type="noConversion"/>
  </si>
  <si>
    <t>박문성</t>
    <phoneticPr fontId="1" type="noConversion"/>
  </si>
  <si>
    <t>김장권</t>
    <phoneticPr fontId="1" type="noConversion"/>
  </si>
  <si>
    <t>동부 여주교동</t>
    <phoneticPr fontId="1" type="noConversion"/>
  </si>
  <si>
    <t>곽은서</t>
    <phoneticPr fontId="1" type="noConversion"/>
  </si>
  <si>
    <t>장용순</t>
    <phoneticPr fontId="1" type="noConversion"/>
  </si>
  <si>
    <t>이운룡</t>
    <phoneticPr fontId="1" type="noConversion"/>
  </si>
  <si>
    <t>김종만</t>
    <phoneticPr fontId="1" type="noConversion"/>
  </si>
  <si>
    <t>조근형</t>
    <phoneticPr fontId="1" type="noConversion"/>
  </si>
  <si>
    <t>현산 디에이치</t>
    <phoneticPr fontId="1" type="noConversion"/>
  </si>
  <si>
    <t>권범기</t>
    <phoneticPr fontId="1" type="noConversion"/>
  </si>
  <si>
    <t>현건 디에이치</t>
    <phoneticPr fontId="1" type="noConversion"/>
  </si>
  <si>
    <t>김석일</t>
    <phoneticPr fontId="1" type="noConversion"/>
  </si>
  <si>
    <t>남춘섭</t>
    <phoneticPr fontId="1" type="noConversion"/>
  </si>
  <si>
    <t>진영수</t>
    <phoneticPr fontId="1" type="noConversion"/>
  </si>
  <si>
    <t>김태경</t>
    <phoneticPr fontId="1" type="noConversion"/>
  </si>
  <si>
    <t>강우용</t>
    <phoneticPr fontId="1" type="noConversion"/>
  </si>
  <si>
    <t>이성희</t>
    <phoneticPr fontId="1" type="noConversion"/>
  </si>
  <si>
    <t>이상승</t>
    <phoneticPr fontId="1" type="noConversion"/>
  </si>
  <si>
    <t>김규중</t>
    <phoneticPr fontId="1" type="noConversion"/>
  </si>
  <si>
    <t>황병민</t>
    <phoneticPr fontId="1" type="noConversion"/>
  </si>
  <si>
    <t>김진영</t>
    <phoneticPr fontId="1" type="noConversion"/>
  </si>
  <si>
    <t>현산 청라국제도시</t>
    <phoneticPr fontId="1" type="noConversion"/>
  </si>
  <si>
    <t>No.</t>
    <phoneticPr fontId="1" type="noConversion"/>
  </si>
  <si>
    <t>이름</t>
    <phoneticPr fontId="1" type="noConversion"/>
  </si>
  <si>
    <t>현장</t>
    <phoneticPr fontId="1" type="noConversion"/>
  </si>
  <si>
    <t>이영수</t>
    <phoneticPr fontId="1" type="noConversion"/>
  </si>
  <si>
    <t>사고
발생일</t>
    <phoneticPr fontId="1" type="noConversion"/>
  </si>
  <si>
    <t>현장소장</t>
    <phoneticPr fontId="1" type="noConversion"/>
  </si>
  <si>
    <t>생년월일</t>
    <phoneticPr fontId="1" type="noConversion"/>
  </si>
  <si>
    <t>입사일</t>
    <phoneticPr fontId="1" type="noConversion"/>
  </si>
  <si>
    <t>석영주</t>
    <phoneticPr fontId="1" type="noConversion"/>
  </si>
  <si>
    <t>O</t>
    <phoneticPr fontId="1" type="noConversion"/>
  </si>
  <si>
    <t>직영</t>
    <phoneticPr fontId="1" type="noConversion"/>
  </si>
  <si>
    <t>직종</t>
    <phoneticPr fontId="1" type="noConversion"/>
  </si>
  <si>
    <t>입사일로부터</t>
    <phoneticPr fontId="1" type="noConversion"/>
  </si>
  <si>
    <t>방창호</t>
    <phoneticPr fontId="1" type="noConversion"/>
  </si>
  <si>
    <t>최종묵</t>
    <phoneticPr fontId="1" type="noConversion"/>
  </si>
  <si>
    <t>김호범</t>
    <phoneticPr fontId="1" type="noConversion"/>
  </si>
  <si>
    <t>정인근</t>
    <phoneticPr fontId="1" type="noConversion"/>
  </si>
  <si>
    <t>배선기구</t>
    <phoneticPr fontId="1" type="noConversion"/>
  </si>
  <si>
    <t>공무</t>
    <phoneticPr fontId="1" type="noConversion"/>
  </si>
  <si>
    <t>입선</t>
    <phoneticPr fontId="1" type="noConversion"/>
  </si>
  <si>
    <t>관급</t>
    <phoneticPr fontId="1" type="noConversion"/>
  </si>
  <si>
    <t>박장석</t>
    <phoneticPr fontId="1" type="noConversion"/>
  </si>
  <si>
    <t>전정환</t>
    <phoneticPr fontId="1" type="noConversion"/>
  </si>
  <si>
    <t>박장섭</t>
    <phoneticPr fontId="1" type="noConversion"/>
  </si>
  <si>
    <t>백화종</t>
    <phoneticPr fontId="1" type="noConversion"/>
  </si>
  <si>
    <t>장광원</t>
    <phoneticPr fontId="1" type="noConversion"/>
  </si>
  <si>
    <t>최종림</t>
    <phoneticPr fontId="1" type="noConversion"/>
  </si>
  <si>
    <t>최용민</t>
    <phoneticPr fontId="1" type="noConversion"/>
  </si>
  <si>
    <t>정동인</t>
    <phoneticPr fontId="1" type="noConversion"/>
  </si>
  <si>
    <t>공사</t>
    <phoneticPr fontId="1" type="noConversion"/>
  </si>
  <si>
    <t>권순영</t>
    <phoneticPr fontId="1" type="noConversion"/>
  </si>
  <si>
    <t>김유연</t>
    <phoneticPr fontId="1" type="noConversion"/>
  </si>
  <si>
    <t>김정섭</t>
    <phoneticPr fontId="1" type="noConversion"/>
  </si>
  <si>
    <t>김영호</t>
    <phoneticPr fontId="1" type="noConversion"/>
  </si>
  <si>
    <t>포설(강전)</t>
    <phoneticPr fontId="1" type="noConversion"/>
  </si>
  <si>
    <t>이진안</t>
    <phoneticPr fontId="1" type="noConversion"/>
  </si>
  <si>
    <t>이용수</t>
    <phoneticPr fontId="1" type="noConversion"/>
  </si>
  <si>
    <t>최연식</t>
    <phoneticPr fontId="1" type="noConversion"/>
  </si>
  <si>
    <t>이상만</t>
    <phoneticPr fontId="1" type="noConversion"/>
  </si>
  <si>
    <t>김용갑</t>
    <phoneticPr fontId="1" type="noConversion"/>
  </si>
  <si>
    <t>이창환</t>
    <phoneticPr fontId="1" type="noConversion"/>
  </si>
  <si>
    <t>사다리작업 중 낙상하여 골절</t>
    <phoneticPr fontId="1" type="noConversion"/>
  </si>
  <si>
    <t>분전반 전도로 인한 뇌진탕</t>
    <phoneticPr fontId="1" type="noConversion"/>
  </si>
  <si>
    <t>지게차와 재해자 손가락의 협착</t>
    <phoneticPr fontId="1" type="noConversion"/>
  </si>
  <si>
    <t>컨테이너 철거중 2층에서 추락으로 갈비뼈 골절</t>
    <phoneticPr fontId="1" type="noConversion"/>
  </si>
  <si>
    <t>이동 중 전도로 무릎 다발 골절</t>
    <phoneticPr fontId="1" type="noConversion"/>
  </si>
  <si>
    <t>전도로 인한 무릎 상해</t>
    <phoneticPr fontId="1" type="noConversion"/>
  </si>
  <si>
    <t>배관작업 중 전도로 팔 골절</t>
    <phoneticPr fontId="1" type="noConversion"/>
  </si>
  <si>
    <t>풀링 중 전도로 왼쪽 손목 골절</t>
    <phoneticPr fontId="1" type="noConversion"/>
  </si>
  <si>
    <t>가설계단에서 전도로 어깨 탈골</t>
    <phoneticPr fontId="1" type="noConversion"/>
  </si>
  <si>
    <t>입선 결전 중 오른손등 찍힘(3Cm)</t>
    <phoneticPr fontId="1" type="noConversion"/>
  </si>
  <si>
    <t>포설 중 손목인대 파열</t>
    <phoneticPr fontId="1" type="noConversion"/>
  </si>
  <si>
    <t>계단에서 미끄러져 발목인대 파열</t>
    <phoneticPr fontId="1" type="noConversion"/>
  </si>
  <si>
    <t>미끄러짐으로 인한 발목 인대 부분파열</t>
    <phoneticPr fontId="1" type="noConversion"/>
  </si>
  <si>
    <t>홀소 교체 작업 중 왼쪽 검지손가락 찢어짐</t>
    <phoneticPr fontId="1" type="noConversion"/>
  </si>
  <si>
    <t>케이블작업 중 커터칼에 의한 손목 자상</t>
    <phoneticPr fontId="1" type="noConversion"/>
  </si>
  <si>
    <t>사고 원인</t>
    <phoneticPr fontId="1" type="noConversion"/>
  </si>
  <si>
    <t>유형</t>
    <phoneticPr fontId="1" type="noConversion"/>
  </si>
  <si>
    <t>전도</t>
    <phoneticPr fontId="1" type="noConversion"/>
  </si>
  <si>
    <t>추락</t>
    <phoneticPr fontId="1" type="noConversion"/>
  </si>
  <si>
    <t>충돌</t>
    <phoneticPr fontId="1" type="noConversion"/>
  </si>
  <si>
    <t>협착</t>
    <phoneticPr fontId="1" type="noConversion"/>
  </si>
  <si>
    <t>기타</t>
    <phoneticPr fontId="1" type="noConversion"/>
  </si>
  <si>
    <t>심장질환 (지병:부정맥)</t>
    <phoneticPr fontId="1" type="noConversion"/>
  </si>
  <si>
    <t>고령 근로자(60세 이상)</t>
    <phoneticPr fontId="1" type="noConversion"/>
  </si>
  <si>
    <t>신규근로자 (14일미만)</t>
    <phoneticPr fontId="1" type="noConversion"/>
  </si>
  <si>
    <t>총 재해자</t>
    <phoneticPr fontId="1" type="noConversion"/>
  </si>
  <si>
    <t>고령 또는 신규근로자</t>
    <phoneticPr fontId="1" type="noConversion"/>
  </si>
  <si>
    <t>공사팀</t>
    <phoneticPr fontId="1" type="noConversion"/>
  </si>
  <si>
    <t>관</t>
    <phoneticPr fontId="1" type="noConversion"/>
  </si>
  <si>
    <t>한화 노태공원</t>
    <phoneticPr fontId="1" type="noConversion"/>
  </si>
  <si>
    <t>한화 신부동</t>
    <phoneticPr fontId="1" type="noConversion"/>
  </si>
  <si>
    <t>현엔 상도동</t>
    <phoneticPr fontId="1" type="noConversion"/>
  </si>
  <si>
    <t>두산 여의구역</t>
    <phoneticPr fontId="1" type="noConversion"/>
  </si>
  <si>
    <t>현건 자이계양</t>
    <phoneticPr fontId="1" type="noConversion"/>
  </si>
  <si>
    <t>대우 태봉공원</t>
    <phoneticPr fontId="1" type="noConversion"/>
  </si>
  <si>
    <t>대우산 부창소방</t>
    <phoneticPr fontId="1" type="noConversion"/>
  </si>
  <si>
    <t>한화 다복마을</t>
    <phoneticPr fontId="1" type="noConversion"/>
  </si>
  <si>
    <t>두산 좌천,범일</t>
    <phoneticPr fontId="1" type="noConversion"/>
  </si>
  <si>
    <t>현엔 부천소사</t>
    <phoneticPr fontId="1" type="noConversion"/>
  </si>
  <si>
    <t>DL 주안에듀</t>
    <phoneticPr fontId="1" type="noConversion"/>
  </si>
  <si>
    <t>SK 영종도SKview</t>
    <phoneticPr fontId="1" type="noConversion"/>
  </si>
  <si>
    <t>대우 광명2R</t>
    <phoneticPr fontId="1" type="noConversion"/>
  </si>
  <si>
    <t>쿠팡 23FC</t>
    <phoneticPr fontId="1" type="noConversion"/>
  </si>
  <si>
    <t>현건 하버하우스</t>
    <phoneticPr fontId="1" type="noConversion"/>
  </si>
  <si>
    <t>공상비
(원)</t>
    <phoneticPr fontId="1" type="noConversion"/>
  </si>
  <si>
    <t>신규근로자 (63일이하)</t>
    <phoneticPr fontId="1" type="noConversion"/>
  </si>
  <si>
    <t>※  재해자의 60%가 2달정도 된 신규근로자 또는 60세 이상 고령자이므로</t>
    <phoneticPr fontId="1" type="noConversion"/>
  </si>
  <si>
    <t xml:space="preserve">    신규근로자, 고령근로자 및 지병이 있는 근로자의 채용 금지 등의 관리가 필요</t>
    <phoneticPr fontId="1" type="noConversion"/>
  </si>
  <si>
    <t>※  유형별 전도 사고가 48%로, 이동 시 및 말비계 사용 시 주의가 필요함</t>
    <phoneticPr fontId="1" type="noConversion"/>
  </si>
  <si>
    <t>박경모</t>
    <phoneticPr fontId="1" type="noConversion"/>
  </si>
  <si>
    <t>인천공항</t>
    <phoneticPr fontId="1" type="noConversion"/>
  </si>
  <si>
    <t>고정식 사다리에서 내려오다 추락</t>
    <phoneticPr fontId="1" type="noConversion"/>
  </si>
  <si>
    <t>고령
/신규</t>
    <phoneticPr fontId="1" type="noConversion"/>
  </si>
  <si>
    <t>이경애</t>
    <phoneticPr fontId="1" type="noConversion"/>
  </si>
  <si>
    <t>오산세교</t>
    <phoneticPr fontId="1" type="noConversion"/>
  </si>
  <si>
    <t>정해은</t>
    <phoneticPr fontId="1" type="noConversion"/>
  </si>
  <si>
    <t>빙판에 미끄러져 전도</t>
    <phoneticPr fontId="1" type="noConversion"/>
  </si>
  <si>
    <t>연락처</t>
    <phoneticPr fontId="1" type="noConversion"/>
  </si>
  <si>
    <t>보고여부</t>
    <phoneticPr fontId="1" type="noConversion"/>
  </si>
  <si>
    <t>사고 원인 및 진행상황</t>
    <phoneticPr fontId="1" type="noConversion"/>
  </si>
  <si>
    <t>신현영</t>
    <phoneticPr fontId="1" type="noConversion"/>
  </si>
  <si>
    <t>안성승두지역</t>
    <phoneticPr fontId="1" type="noConversion"/>
  </si>
  <si>
    <t>박재만</t>
    <phoneticPr fontId="1" type="noConversion"/>
  </si>
  <si>
    <t>1/8 
안전실보고, 서희건설보고</t>
    <phoneticPr fontId="1" type="noConversion"/>
  </si>
  <si>
    <t>박경덕</t>
    <phoneticPr fontId="1" type="noConversion"/>
  </si>
  <si>
    <t>x</t>
    <phoneticPr fontId="1" type="noConversion"/>
  </si>
  <si>
    <t>가산동지식산업센터</t>
    <phoneticPr fontId="1" type="noConversion"/>
  </si>
  <si>
    <t>김재익</t>
    <phoneticPr fontId="1" type="noConversion"/>
  </si>
  <si>
    <t>조호천</t>
    <phoneticPr fontId="1" type="noConversion"/>
  </si>
  <si>
    <t>권대엽</t>
    <phoneticPr fontId="1" type="noConversion"/>
  </si>
  <si>
    <t xml:space="preserve">※  총 공상비  :  </t>
    <phoneticPr fontId="1" type="noConversion"/>
  </si>
  <si>
    <t>8740-6245</t>
    <phoneticPr fontId="1" type="noConversion"/>
  </si>
  <si>
    <t>경기 양주시</t>
    <phoneticPr fontId="1" type="noConversion"/>
  </si>
  <si>
    <t>주소지</t>
    <phoneticPr fontId="1" type="noConversion"/>
  </si>
  <si>
    <t>9055-6953</t>
    <phoneticPr fontId="1" type="noConversion"/>
  </si>
  <si>
    <t>서울 양천구</t>
    <phoneticPr fontId="1" type="noConversion"/>
  </si>
  <si>
    <t>8459-7976</t>
    <phoneticPr fontId="1" type="noConversion"/>
  </si>
  <si>
    <t>부산 영도구</t>
    <phoneticPr fontId="1" type="noConversion"/>
  </si>
  <si>
    <t>-</t>
    <phoneticPr fontId="1" type="noConversion"/>
  </si>
  <si>
    <t>8420-4219</t>
    <phoneticPr fontId="1" type="noConversion"/>
  </si>
  <si>
    <t>서울 동대문</t>
    <phoneticPr fontId="1" type="noConversion"/>
  </si>
  <si>
    <t>9908-5688</t>
    <phoneticPr fontId="1" type="noConversion"/>
  </si>
  <si>
    <t>충남 천안시</t>
    <phoneticPr fontId="1" type="noConversion"/>
  </si>
  <si>
    <t>9725-7985</t>
    <phoneticPr fontId="1" type="noConversion"/>
  </si>
  <si>
    <t>경기 안양시</t>
    <phoneticPr fontId="1" type="noConversion"/>
  </si>
  <si>
    <t>7745-3305</t>
    <phoneticPr fontId="1" type="noConversion"/>
  </si>
  <si>
    <t>서울 강서구</t>
    <phoneticPr fontId="1" type="noConversion"/>
  </si>
  <si>
    <t>5607-7178</t>
    <phoneticPr fontId="1" type="noConversion"/>
  </si>
  <si>
    <t>인천 부평구</t>
    <phoneticPr fontId="1" type="noConversion"/>
  </si>
  <si>
    <t>4544-2444</t>
    <phoneticPr fontId="1" type="noConversion"/>
  </si>
  <si>
    <t>경기 김포시</t>
    <phoneticPr fontId="1" type="noConversion"/>
  </si>
  <si>
    <t>2664-5673</t>
    <phoneticPr fontId="1" type="noConversion"/>
  </si>
  <si>
    <t>경기 구리시</t>
    <phoneticPr fontId="1" type="noConversion"/>
  </si>
  <si>
    <t>3709-3958</t>
    <phoneticPr fontId="1" type="noConversion"/>
  </si>
  <si>
    <t>인천 계양구</t>
    <phoneticPr fontId="1" type="noConversion"/>
  </si>
  <si>
    <t>4518-7800</t>
    <phoneticPr fontId="1" type="noConversion"/>
  </si>
  <si>
    <t>경기 성남시</t>
    <phoneticPr fontId="1" type="noConversion"/>
  </si>
  <si>
    <t>3747-8929</t>
    <phoneticPr fontId="1" type="noConversion"/>
  </si>
  <si>
    <t>경기 수원시</t>
    <phoneticPr fontId="1" type="noConversion"/>
  </si>
  <si>
    <t>4353-1100</t>
    <phoneticPr fontId="1" type="noConversion"/>
  </si>
  <si>
    <t>6746-9606</t>
    <phoneticPr fontId="1" type="noConversion"/>
  </si>
  <si>
    <t>4550-6207</t>
    <phoneticPr fontId="1" type="noConversion"/>
  </si>
  <si>
    <t>장애인, 산재신청하였으나 질병성, 지병이 있었음</t>
    <phoneticPr fontId="1" type="noConversion"/>
  </si>
  <si>
    <t>5906-7300</t>
    <phoneticPr fontId="1" type="noConversion"/>
  </si>
  <si>
    <t>경북 경주시</t>
    <phoneticPr fontId="1" type="noConversion"/>
  </si>
  <si>
    <t>4201-8026</t>
    <phoneticPr fontId="1" type="noConversion"/>
  </si>
  <si>
    <t>2725-6187</t>
    <phoneticPr fontId="1" type="noConversion"/>
  </si>
  <si>
    <t>지병, 난로를 옮기는 중 전도로 손목 인대 파열</t>
    <phoneticPr fontId="1" type="noConversion"/>
  </si>
  <si>
    <t>4679-7590</t>
    <phoneticPr fontId="1" type="noConversion"/>
  </si>
  <si>
    <t>인천 남구</t>
    <phoneticPr fontId="1" type="noConversion"/>
  </si>
  <si>
    <t>4109-3223</t>
    <phoneticPr fontId="1" type="noConversion"/>
  </si>
  <si>
    <t>인천 미추홀구</t>
    <phoneticPr fontId="1" type="noConversion"/>
  </si>
  <si>
    <t>8181-1518</t>
    <phoneticPr fontId="1" type="noConversion"/>
  </si>
  <si>
    <t>인천 남동구</t>
    <phoneticPr fontId="1" type="noConversion"/>
  </si>
  <si>
    <t>5239-8089</t>
    <phoneticPr fontId="1" type="noConversion"/>
  </si>
  <si>
    <t>경기 의정부시</t>
    <phoneticPr fontId="1" type="noConversion"/>
  </si>
  <si>
    <t>8718-5532</t>
    <phoneticPr fontId="1" type="noConversion"/>
  </si>
  <si>
    <t>경기 안산시</t>
    <phoneticPr fontId="1" type="noConversion"/>
  </si>
  <si>
    <t>2259-3069</t>
    <phoneticPr fontId="1" type="noConversion"/>
  </si>
  <si>
    <t>7174-7639</t>
    <phoneticPr fontId="1" type="noConversion"/>
  </si>
  <si>
    <t>산재
여부</t>
    <phoneticPr fontId="1" type="noConversion"/>
  </si>
  <si>
    <t>해링턴 감삼</t>
    <phoneticPr fontId="1" type="noConversion"/>
  </si>
  <si>
    <t>이종우</t>
    <phoneticPr fontId="1" type="noConversion"/>
  </si>
  <si>
    <t>2353-6262</t>
    <phoneticPr fontId="1" type="noConversion"/>
  </si>
  <si>
    <t>대구 수성구</t>
    <phoneticPr fontId="1" type="noConversion"/>
  </si>
  <si>
    <t>평평하지 않은 곳에서 2인1조 근로자가 잡아주던 말비계가 전도</t>
    <phoneticPr fontId="1" type="noConversion"/>
  </si>
  <si>
    <t>2
0
2
3</t>
    <phoneticPr fontId="1" type="noConversion"/>
  </si>
  <si>
    <t>완료</t>
    <phoneticPr fontId="1" type="noConversion"/>
  </si>
  <si>
    <t>진행
상황</t>
    <phoneticPr fontId="1" type="noConversion"/>
  </si>
  <si>
    <t>안전</t>
    <phoneticPr fontId="1" type="noConversion"/>
  </si>
  <si>
    <t>진행중</t>
    <phoneticPr fontId="1" type="noConversion"/>
  </si>
  <si>
    <t>사고사례 분석표 (진행중)</t>
    <phoneticPr fontId="1" type="noConversion"/>
  </si>
  <si>
    <t>입선 중 말비계에서 낙상하여 허벅지 좌상 및 골반 골절
- 지속적 관리 중
- 2.15~2.29 합의 결정 예정</t>
    <phoneticPr fontId="1" type="noConversion"/>
  </si>
  <si>
    <t>현대엔지니어링
동탄더테라스</t>
    <phoneticPr fontId="1" type="noConversion"/>
  </si>
  <si>
    <t>현대건설
시티오씨엘1단지</t>
    <phoneticPr fontId="1" type="noConversion"/>
  </si>
  <si>
    <t>한화건설
신부동</t>
    <phoneticPr fontId="1" type="noConversion"/>
  </si>
  <si>
    <t>안전담당, 이동 중 전도로 새끼발가락 골절
- 2.14부터 현장 출근</t>
    <phoneticPr fontId="1" type="noConversion"/>
  </si>
  <si>
    <t>백상호</t>
    <phoneticPr fontId="1" type="noConversion"/>
  </si>
  <si>
    <t>태봉공원</t>
    <phoneticPr fontId="1" type="noConversion"/>
  </si>
  <si>
    <t>김기배</t>
    <phoneticPr fontId="1" type="noConversion"/>
  </si>
  <si>
    <t>재발 방지 대책</t>
    <phoneticPr fontId="1" type="noConversion"/>
  </si>
  <si>
    <t>- 말비계 작업시 현장 바닥상태 확인후 작업실시
- 공종간 바닥슬리브 확인 불가시, 건설사 및 해당공종 위치표시 및 관통슬리브 커버 견교히 요청
-기타 협력사간 협조 필요
- 현장 작업전 자재 정리정돈 및 바닥상태 확인 필요</t>
    <phoneticPr fontId="1" type="noConversion"/>
  </si>
  <si>
    <t>1.유해 위험요인 조사 및 수시 위험성 평가 시행
2.작업 안전교육 실시</t>
    <phoneticPr fontId="1" type="noConversion"/>
  </si>
  <si>
    <t>산재여부</t>
    <phoneticPr fontId="1" type="noConversion"/>
  </si>
  <si>
    <t>2/2
안전실보고, 인천공항보고</t>
    <phoneticPr fontId="1" type="noConversion"/>
  </si>
  <si>
    <t>1. 자재, 기구, 공구를 이동시킬 때 장갑을 항상 착용하도록 근로자 교육
2. 기구, 공구의 사용방법 교육, 전파</t>
    <phoneticPr fontId="1" type="noConversion"/>
  </si>
  <si>
    <t>1.언제: 24년 02월 02일 11시 00분경
2. 누가: 일진파워 컨소시엄 조호천 (69년 11월 생)
3.어디서: LV4 25-25구역 에서
4.무엇을: 전열 배선 결선을 위해 사다리를 오르던 중
5.어떻게: 발이 미끄러지며 사다리 하부 2~3단 높이에서 뒤로 떨어짐
6. 2/16 보험가입자 의견서 (승인) 공단 발송</t>
    <phoneticPr fontId="1" type="noConversion"/>
  </si>
  <si>
    <t>1. 오후 14시 10분경, 101동 20층 2005호에서, 다용도실 소방감지기 배관작업관련 말비계위치를 PVC슬리브 PVC커버위에 놓고작업중 PVC슬리브 커버 파손에 의한 전도
2. 최초 병원비 40만원, 추후 산재, 근재 진행예정이기 때문에 추가 비용 지급 정지</t>
    <phoneticPr fontId="1" type="noConversion"/>
  </si>
  <si>
    <t>1. 09:30 1동 2코어 12층 EPS실에서 작업을 마치고 우마 이동준비 도중 우마 접히는 부분에 손가락이 끼어 3,4바늘 꿰맴
2. 6일간의 인건비 114만원만 지급, 종결</t>
    <phoneticPr fontId="1" type="noConversion"/>
  </si>
  <si>
    <t>재해 처리 비용 총계</t>
    <phoneticPr fontId="1" type="noConversion"/>
  </si>
  <si>
    <t>1. 이동 중 목재에 걸려 넘어짐. 골반뼈 골절.
2. 1/8 서울 건대병원 진료, 딸이 산재를 요청하였으나 박재만소장님이 설득, 1달안에 결과를 보고 결정할 예정
2. 1/23 산재접수, 공상비 지출 없음
3. 장애인 중급이어서 계속 채용 예정
4. 2/21 근로복지공단-산재승인통지 (서희건설)</t>
    <phoneticPr fontId="1" type="noConversion"/>
  </si>
  <si>
    <t>1. 근로자 이동통로 통행 시 전방주시 철저 교육
2. 작업장소 및 근로자 이동통로의 적정 조도 확보
3. 이동통로 상의 장애물, 요철 등 위험요인 상시 점검 및 제거</t>
    <phoneticPr fontId="1" type="noConversion"/>
  </si>
  <si>
    <t>이성범</t>
    <phoneticPr fontId="1" type="noConversion"/>
  </si>
  <si>
    <t>노태공원</t>
    <phoneticPr fontId="1" type="noConversion"/>
  </si>
  <si>
    <t>2024년4월23일 최상층 천정 후렉시블 배관작업 중 화장실 부위 배관을 연결 작업 중 말비계 위에서 중심을 잃어 적재된 단열재를 밟았으나 단열재가 전도되며 바닥의 조적을 밟고 전도되어 왼쪽 발목이 꺾임.
말비계 설치 위치가 불량하여 중심을 잃은 것으로 조사됨</t>
    <phoneticPr fontId="1" type="noConversion"/>
  </si>
  <si>
    <t>1. 작업 전, 바닥 상태를 고려하여 말비계 등을 평평한 상태로 놓을 것
2. 작업위치가 맞지 않은 상태에서 고소작업 금지</t>
    <phoneticPr fontId="1" type="noConversion"/>
  </si>
  <si>
    <t>여은지</t>
    <phoneticPr fontId="1" type="noConversion"/>
  </si>
  <si>
    <t>현장 지하주차장에서 근로자 여은지가 근로중 타 근로자의 자재(트레이)를 운반작업을 돕다가 3일 뒤(3/25) 목, 어깨, 허리, 발복에 염좌가 발생했다고 주장</t>
    <phoneticPr fontId="1" type="noConversion"/>
  </si>
  <si>
    <t>1. 신규 입사자에 대한 안전교육 실시
2. 근골격계질환 예방을 위한 작업 전 체조 실시</t>
    <phoneticPr fontId="1" type="noConversion"/>
  </si>
  <si>
    <t>레이크 송도 4차</t>
    <phoneticPr fontId="1" type="noConversion"/>
  </si>
  <si>
    <t>김혜창</t>
    <phoneticPr fontId="1" type="noConversion"/>
  </si>
  <si>
    <t>김형열</t>
    <phoneticPr fontId="1" type="noConversion"/>
  </si>
  <si>
    <t>X</t>
    <phoneticPr fontId="1" type="noConversion"/>
  </si>
  <si>
    <t>문우남</t>
    <phoneticPr fontId="1" type="noConversion"/>
  </si>
  <si>
    <t>구미 송정
범양레우스</t>
    <phoneticPr fontId="1" type="noConversion"/>
  </si>
  <si>
    <t>배관 굴곡이 많아 작업이 용이하지 않자 2명이 작업 중 사다리 위에 올라간 사람이 안전벨트 등 추락에 대비하지 못하고 추락</t>
    <phoneticPr fontId="1" type="noConversion"/>
  </si>
  <si>
    <t>쿠팡 - 
노홍준</t>
    <phoneticPr fontId="1" type="noConversion"/>
  </si>
  <si>
    <t>2층 서측 허브 관리실 상부 실외기 전원케이블 트레이설치 작업 중 공구를 노후화된 텍스에 올려두어 노후된 텍스가 파단되면서, 쿠팡이천2센터 쿠팡 2F OB 근로자 노홍준의 왼쪽 무릎에 떨어져 타박상 발생</t>
    <phoneticPr fontId="1" type="noConversion"/>
  </si>
  <si>
    <t>1. 공도구 낙하방지 와이어 사용
2. 천장 위 작업 시 유도자 배치하여 구획설정 및 하부통제 철저
3. 작업자 고소작업 안전교육</t>
    <phoneticPr fontId="1" type="noConversion"/>
  </si>
  <si>
    <t>쿠팡 이천2FC</t>
    <phoneticPr fontId="1" type="noConversion"/>
  </si>
  <si>
    <t>강근원</t>
    <phoneticPr fontId="1" type="noConversion"/>
  </si>
  <si>
    <t>낙하</t>
    <phoneticPr fontId="1" type="noConversion"/>
  </si>
  <si>
    <t>단자결선용 C형 스리브를 압착하기 위해 압착기 사용 중 압착기에 끼어 오른손 검지손가락 골절</t>
    <phoneticPr fontId="1" type="noConversion"/>
  </si>
  <si>
    <t>신현기</t>
    <phoneticPr fontId="1" type="noConversion"/>
  </si>
  <si>
    <t>1. TBM 사전 교육 후 작업 투입 및 작업 요소에 대한 안전교육 강화
2. 위험성평가 실시 : 수시 위험성평가 실시, 위험성평가 내용 근로자 전달 및 숙지상태 확인
3. 충분한 개별 공정시간을 가지고 서로 간섭을 최소화, 완성도 있는 단계별 시공 필요 강력 요청</t>
    <phoneticPr fontId="1" type="noConversion"/>
  </si>
  <si>
    <t>여의구역</t>
    <phoneticPr fontId="1" type="noConversion"/>
  </si>
  <si>
    <t>김효일</t>
    <phoneticPr fontId="1" type="noConversion"/>
  </si>
  <si>
    <t>지하3층 주차장 106동 부근에서 재해자가 고소작업대 작업후 하차 하는중 바닥에 있던 콘크리트 잔해물을 밟으며 말목을 삠. 작업장 정리정돈 미흡 및 하차시 바닥의 상황을 인지하지 못하고 하차 (목격자 없음)</t>
    <phoneticPr fontId="1" type="noConversion"/>
  </si>
  <si>
    <t xml:space="preserve"> 2024. 06. 06  오전 10시경 6층 상부 스라브에서 재해자가 A/C 폼 상부 박리재 도포 상태에서 안전화 기름 접촉후 철근 상부 미끄러짐. 박리재 도포로 인해 철근 상부 미끄러움으로 넒어져 무릅관절 내 반월상 연골 손상</t>
    <phoneticPr fontId="1" type="noConversion"/>
  </si>
  <si>
    <t>TBM 사전 교육 후 작업 투입 및 작업요소에 대한 안전교육 강화</t>
    <phoneticPr fontId="1" type="noConversion"/>
  </si>
  <si>
    <t>지에프R&amp;D 과천현장</t>
    <phoneticPr fontId="1" type="noConversion"/>
  </si>
  <si>
    <t>이태충</t>
    <phoneticPr fontId="1" type="noConversion"/>
  </si>
  <si>
    <t>보고일</t>
    <phoneticPr fontId="1" type="noConversion"/>
  </si>
  <si>
    <t>강호제</t>
    <phoneticPr fontId="1" type="noConversion"/>
  </si>
  <si>
    <t>아차사고</t>
    <phoneticPr fontId="1" type="noConversion"/>
  </si>
  <si>
    <t>이경애
안전실보고</t>
    <phoneticPr fontId="1" type="noConversion"/>
  </si>
  <si>
    <t>최진우
안전실보고</t>
    <phoneticPr fontId="1" type="noConversion"/>
  </si>
  <si>
    <t>쿠팡 전체메일</t>
    <phoneticPr fontId="1" type="noConversion"/>
  </si>
  <si>
    <t>대광 내포신도시</t>
    <phoneticPr fontId="1" type="noConversion"/>
  </si>
  <si>
    <t>백대진
안전실보고</t>
    <phoneticPr fontId="1" type="noConversion"/>
  </si>
  <si>
    <t>이종우
안전실보고</t>
    <phoneticPr fontId="1" type="noConversion"/>
  </si>
  <si>
    <t>진흥 대구 해링턴 감삼</t>
    <phoneticPr fontId="1" type="noConversion"/>
  </si>
  <si>
    <t>안전실보고,
현대건설보고</t>
    <phoneticPr fontId="1" type="noConversion"/>
  </si>
  <si>
    <t>안전실보고,
한화건설보고</t>
    <phoneticPr fontId="1" type="noConversion"/>
  </si>
  <si>
    <t>안전실보고, 대우건설보고</t>
    <phoneticPr fontId="1" type="noConversion"/>
  </si>
  <si>
    <t>안전실보고</t>
    <phoneticPr fontId="1" type="noConversion"/>
  </si>
  <si>
    <t>김계홍</t>
    <phoneticPr fontId="1" type="noConversion"/>
  </si>
  <si>
    <t>부천소사</t>
    <phoneticPr fontId="1" type="noConversion"/>
  </si>
  <si>
    <t>오후TBM을 마치고 단차구간을 내려오던 중 순간적으로 발목을 접질리면서 심하게 붓고 통증을 유발, 발목염좌로 2주 진단</t>
    <phoneticPr fontId="1" type="noConversion"/>
  </si>
  <si>
    <t>1. TBM 시 계단을 오르내릴 때에는 한 칸씩 이동하도록 교육
2. 이동 시 전방주시 철저 교육</t>
    <phoneticPr fontId="1" type="noConversion"/>
  </si>
  <si>
    <t>용역</t>
    <phoneticPr fontId="1" type="noConversion"/>
  </si>
  <si>
    <t>1. 단열제(최상층세대)를 지지하기 위해 세워놓은 알폼써포트가 일부 기울어진 상태로 설치되어(불안전한 상태), 갑자기 강호제에게 넘어지며 근로자 안전모에 충돌
2. 대광건영 안전팀 보고후 병원에서 검사한 결과 이상없다는 의사소견.</t>
    <phoneticPr fontId="1" type="noConversion"/>
  </si>
  <si>
    <t>재발방지대책 : 
1. 목격자 한승오가 2차 사고를 방지하고자 해당 장소에 비스듬히 설치되어 있는 써포트를 모두 눞혀둠.
2. 세대내 안전모 착용 철저 교육, 작업장 주변 정리정돈, 근로자 이동동선 관리감독자 점검 철저</t>
    <phoneticPr fontId="1" type="noConversion"/>
  </si>
  <si>
    <t>3일간</t>
    <phoneticPr fontId="1" type="noConversion"/>
  </si>
  <si>
    <t>품의참고</t>
    <phoneticPr fontId="1" type="noConversion"/>
  </si>
  <si>
    <t>101동 주변 지상1층 근생 슬라브에서 오른쪽 발이 보에 빠져 오른쪽 허벅지에 찰과상</t>
    <phoneticPr fontId="1" type="noConversion"/>
  </si>
  <si>
    <t>슬라브에서 이동 시 천천히 안전하게 전방을 주시하며 이동할 것</t>
    <phoneticPr fontId="1" type="noConversion"/>
  </si>
  <si>
    <t>엄희철</t>
    <phoneticPr fontId="1" type="noConversion"/>
  </si>
  <si>
    <t>배관작업 중 수직철근 사이로 이동하다가 방치된 철근에 긁힘</t>
    <phoneticPr fontId="1" type="noConversion"/>
  </si>
  <si>
    <t>건설업체 골조팀과 협력하여 찔림방지용 캡 설치 및 안전통로 설치</t>
    <phoneticPr fontId="1" type="noConversion"/>
  </si>
  <si>
    <t>송도레이크4차</t>
    <phoneticPr fontId="1" type="noConversion"/>
  </si>
  <si>
    <t>김한호</t>
    <phoneticPr fontId="1" type="noConversion"/>
  </si>
  <si>
    <t>오춘남</t>
    <phoneticPr fontId="1" type="noConversion"/>
  </si>
  <si>
    <t>청라경서</t>
    <phoneticPr fontId="1" type="noConversion"/>
  </si>
  <si>
    <t>산재표제출</t>
    <phoneticPr fontId="1" type="noConversion"/>
  </si>
  <si>
    <t>강영삼</t>
    <phoneticPr fontId="1" type="noConversion"/>
  </si>
  <si>
    <t>부산프리미엄</t>
    <phoneticPr fontId="1" type="noConversion"/>
  </si>
  <si>
    <t>김태주</t>
    <phoneticPr fontId="1" type="noConversion"/>
  </si>
  <si>
    <t>회계팀 역보고</t>
    <phoneticPr fontId="1" type="noConversion"/>
  </si>
  <si>
    <t>2인1조 작업투입, 매일 안전보건 및 건강상태 육안점검, 물,휴식,그늘막 제공</t>
    <phoneticPr fontId="1" type="noConversion"/>
  </si>
  <si>
    <t>고르지 못한 바닥에 말비계 설치 후 올라가다가 말비계가 쓰러지며 함께 전도하며 쓰러진 말비계에 팔이 충돌</t>
    <phoneticPr fontId="1" type="noConversion"/>
  </si>
  <si>
    <t>말비계 사용 시 주변 정리정돈 및 지면 상태 확인, 발판 고정 및 수평한 상태에서 설치 후 작업</t>
    <phoneticPr fontId="1" type="noConversion"/>
  </si>
  <si>
    <t>대우안전보고
안전실 보고</t>
    <phoneticPr fontId="1" type="noConversion"/>
  </si>
  <si>
    <t>온열질환</t>
    <phoneticPr fontId="1" type="noConversion"/>
  </si>
  <si>
    <t>백대진</t>
    <phoneticPr fontId="1" type="noConversion"/>
  </si>
  <si>
    <t>3일 미만
사고</t>
    <phoneticPr fontId="1" type="noConversion"/>
  </si>
  <si>
    <t>종결</t>
    <phoneticPr fontId="1" type="noConversion"/>
  </si>
  <si>
    <t>박세윤</t>
    <phoneticPr fontId="1" type="noConversion"/>
  </si>
  <si>
    <t>전산볼트 커팅중 왼쪽 손 엄지와 검지사이 손등 부위 자상</t>
    <phoneticPr fontId="1" type="noConversion"/>
  </si>
  <si>
    <t>커팅 작업 시 자재 견고히 고정하여 회전 방지</t>
    <phoneticPr fontId="1" type="noConversion"/>
  </si>
  <si>
    <t>만촌역</t>
    <phoneticPr fontId="1" type="noConversion"/>
  </si>
  <si>
    <t>박상식</t>
    <phoneticPr fontId="1" type="noConversion"/>
  </si>
  <si>
    <t>자상</t>
    <phoneticPr fontId="1" type="noConversion"/>
  </si>
  <si>
    <t>몰드바</t>
    <phoneticPr fontId="1" type="noConversion"/>
  </si>
  <si>
    <t>진행상황</t>
    <phoneticPr fontId="1" type="noConversion"/>
  </si>
  <si>
    <t>1/8~1/13
공상</t>
    <phoneticPr fontId="1" type="noConversion"/>
  </si>
  <si>
    <t>2024년 사고사례 분석표</t>
    <phoneticPr fontId="1" type="noConversion"/>
  </si>
  <si>
    <t>진단서상 취업치료 가능</t>
    <phoneticPr fontId="1" type="noConversion"/>
  </si>
  <si>
    <t>전기공사 현장 정리정돈 작업중 열경련이 일어났다고 주장함 7/5 병원초진, 늦게 신고</t>
    <phoneticPr fontId="1" type="noConversion"/>
  </si>
  <si>
    <t>김동일</t>
    <phoneticPr fontId="1" type="noConversion"/>
  </si>
  <si>
    <t>산재표접수</t>
    <phoneticPr fontId="1" type="noConversion"/>
  </si>
  <si>
    <t>402동과 401동 사이 길로 301동 작업하러 가는 중 건설기계이동 등의 이유로 샛길로 이동 중 미끄러져서 CPB 배관에 발이 끼어 무릎이 꺾임</t>
    <phoneticPr fontId="1" type="noConversion"/>
  </si>
  <si>
    <t>우천 시 이동 중 미끄러짐 위험요인 교육 및 사고 위험내용 교육
우천 시 안전장화 착용 및 물 웅덩이 확인</t>
    <phoneticPr fontId="1" type="noConversion"/>
  </si>
  <si>
    <t>명지지구</t>
    <phoneticPr fontId="1" type="noConversion"/>
  </si>
  <si>
    <t>신세계안전보고</t>
    <phoneticPr fontId="1" type="noConversion"/>
  </si>
  <si>
    <t>전화송</t>
    <phoneticPr fontId="1" type="noConversion"/>
  </si>
  <si>
    <t>사다리 2단에서 하강중 바닥의 콘크리트 잔재를 밟다가 접질림</t>
    <phoneticPr fontId="1" type="noConversion"/>
  </si>
  <si>
    <t>2인1조 작업투입, 사다리 하강 시 답단 하나씩 밟고 내려오도록 교육</t>
    <phoneticPr fontId="1" type="noConversion"/>
  </si>
  <si>
    <t>골조</t>
    <phoneticPr fontId="1" type="noConversion"/>
  </si>
  <si>
    <t>접수</t>
    <phoneticPr fontId="1" type="noConversion"/>
  </si>
  <si>
    <t>천인식</t>
    <phoneticPr fontId="1" type="noConversion"/>
  </si>
  <si>
    <t>김동준</t>
    <phoneticPr fontId="1" type="noConversion"/>
  </si>
  <si>
    <t>김영진</t>
    <phoneticPr fontId="1" type="noConversion"/>
  </si>
  <si>
    <t>불인정예정
0920 요양급여신청서 병원에서 제출토록 유도</t>
    <phoneticPr fontId="1" type="noConversion"/>
  </si>
  <si>
    <t>김태성</t>
    <phoneticPr fontId="1" type="noConversion"/>
  </si>
  <si>
    <t>근로자 휴게소에서 의자에 착성 중 뒤로 넘어가면서 바닥에 왼손으로 짚다가 어깨 골절 발생</t>
    <phoneticPr fontId="1" type="noConversion"/>
  </si>
  <si>
    <t>의자고정</t>
    <phoneticPr fontId="1" type="noConversion"/>
  </si>
  <si>
    <t>대우 - 장위6구역</t>
    <phoneticPr fontId="1" type="noConversion"/>
  </si>
  <si>
    <t>박정식</t>
    <phoneticPr fontId="1" type="noConversion"/>
  </si>
  <si>
    <t>현산안전보고
안전실보고</t>
    <phoneticPr fontId="1" type="noConversion"/>
  </si>
  <si>
    <t>화재</t>
    <phoneticPr fontId="1" type="noConversion"/>
  </si>
  <si>
    <t>작업 절차 준수</t>
    <phoneticPr fontId="1" type="noConversion"/>
  </si>
  <si>
    <t>시티오씨엘 3단지</t>
    <phoneticPr fontId="1" type="noConversion"/>
  </si>
  <si>
    <t>유영찬</t>
    <phoneticPr fontId="1" type="noConversion"/>
  </si>
  <si>
    <t>초진기록지받음
경위서 등 요청</t>
    <phoneticPr fontId="1" type="noConversion"/>
  </si>
  <si>
    <t>16sq 접지 케이블을 말랑말랑하게 만들어 쉽게 피복을 제거하기 위해 불을 붙이다 가연물 속 락카통이 복발하며 전신 화상</t>
    <phoneticPr fontId="1" type="noConversion"/>
  </si>
  <si>
    <t>유환준</t>
    <phoneticPr fontId="1" type="noConversion"/>
  </si>
  <si>
    <t>김승모</t>
    <phoneticPr fontId="1" type="noConversion"/>
  </si>
  <si>
    <t>청주 테크노폴리스</t>
    <phoneticPr fontId="1" type="noConversion"/>
  </si>
  <si>
    <t>일상생활가능 소견서, 공상예정, 3일출역, 7일 실밥</t>
    <phoneticPr fontId="1" type="noConversion"/>
  </si>
  <si>
    <t>이동 시 주의</t>
    <phoneticPr fontId="1" type="noConversion"/>
  </si>
  <si>
    <t>산재표접수,
공상</t>
    <phoneticPr fontId="1" type="noConversion"/>
  </si>
  <si>
    <t>치료비 6618740, 공상급여: 6300000원 결제됨</t>
    <phoneticPr fontId="1" type="noConversion"/>
  </si>
  <si>
    <t>근재완료</t>
    <phoneticPr fontId="1" type="noConversion"/>
  </si>
  <si>
    <t>불인정
의견</t>
    <phoneticPr fontId="1" type="noConversion"/>
  </si>
  <si>
    <t>태광이앤씨에서 입금</t>
    <phoneticPr fontId="1" type="noConversion"/>
  </si>
  <si>
    <t>산재표 제출</t>
    <phoneticPr fontId="1" type="noConversion"/>
  </si>
  <si>
    <t>6-3~7-14
(42일간)
공상
714만</t>
    <phoneticPr fontId="1" type="noConversion"/>
  </si>
  <si>
    <t>최요한</t>
    <phoneticPr fontId="1" type="noConversion"/>
  </si>
  <si>
    <t>조인희</t>
    <phoneticPr fontId="1" type="noConversion"/>
  </si>
  <si>
    <t>이동 중 레이스웨이에 발이 걸려 새끼발가락 발톱이 들림</t>
    <phoneticPr fontId="1" type="noConversion"/>
  </si>
  <si>
    <t>인천 26,28FC</t>
    <phoneticPr fontId="1" type="noConversion"/>
  </si>
  <si>
    <t>권혁천</t>
    <phoneticPr fontId="1" type="noConversion"/>
  </si>
  <si>
    <t>소견서, 치료비영수증, 산재표접수</t>
    <phoneticPr fontId="1" type="noConversion"/>
  </si>
  <si>
    <t>B동6층14번도크에 정차된 1톤트럭 적재함으로 케이블드럼을 굴려 상차중 드럼이 전도되어 재해자의 정강이에 충돌</t>
    <phoneticPr fontId="1" type="noConversion"/>
  </si>
  <si>
    <t>중량물 운반 시 무게에 따른 이동방법을 결정하고 인력운반이 어려울 경우에는 지게차를 사용할 것</t>
    <phoneticPr fontId="1" type="noConversion"/>
  </si>
  <si>
    <t>임성주</t>
    <phoneticPr fontId="1" type="noConversion"/>
  </si>
  <si>
    <t>한림대 춘천</t>
    <phoneticPr fontId="1" type="noConversion"/>
  </si>
  <si>
    <t>강두식</t>
    <phoneticPr fontId="1" type="noConversion"/>
  </si>
  <si>
    <t>7일지연보고
소견서-업무에지장없음</t>
    <phoneticPr fontId="1" type="noConversion"/>
  </si>
  <si>
    <t>타박상</t>
    <phoneticPr fontId="1" type="noConversion"/>
  </si>
  <si>
    <t>피복을 벗기는 작업은 바깥쪽으로 커팅하여 자상방지</t>
    <phoneticPr fontId="1" type="noConversion"/>
  </si>
  <si>
    <t>O
불승인</t>
    <phoneticPr fontId="1" type="noConversion"/>
  </si>
  <si>
    <t>안전팀 보고
조전무님 보고</t>
    <phoneticPr fontId="1" type="noConversion"/>
  </si>
  <si>
    <t>최상층 계단에서 전도, 철근에 눈가가 스치고 타박상
일상생활 가능 소견서받음</t>
    <phoneticPr fontId="1" type="noConversion"/>
  </si>
  <si>
    <t>지연보고
김명식과장</t>
    <phoneticPr fontId="1" type="noConversion"/>
  </si>
  <si>
    <t xml:space="preserve">지연보고
1/8
공사1팀보고, </t>
    <phoneticPr fontId="1" type="noConversion"/>
  </si>
  <si>
    <t>아차</t>
    <phoneticPr fontId="1" type="noConversion"/>
  </si>
  <si>
    <t>근골격</t>
    <phoneticPr fontId="1" type="noConversion"/>
  </si>
  <si>
    <t>재해유형 별 사고</t>
    <phoneticPr fontId="1" type="noConversion"/>
  </si>
  <si>
    <t>합  계</t>
    <phoneticPr fontId="1" type="noConversion"/>
  </si>
  <si>
    <t>2023년</t>
    <phoneticPr fontId="1" type="noConversion"/>
  </si>
  <si>
    <t>안전실보고
원청보고</t>
    <phoneticPr fontId="1" type="noConversion"/>
  </si>
  <si>
    <t>원청에서 산재표를 꺼려하여 문제없음을 고지하고 재해자 보상을 하여 문제없도록 하겠다고 해둠</t>
    <phoneticPr fontId="1" type="noConversion"/>
  </si>
  <si>
    <t>진단서 받음
산재표제출(12/6)</t>
    <phoneticPr fontId="1" type="noConversion"/>
  </si>
  <si>
    <t>케이블 피복을 벗기던 중 갈고리 칼에 왼쪽 팔뚝 10Cm 자상
12/6 산재표 이안알앤씨에서 제공받아
0505-8230-0371 FAX 전송함
접수증 받음</t>
    <phoneticPr fontId="1" type="noConversion"/>
  </si>
  <si>
    <t>2025년 부터는 치료비, 임금 모두 집계</t>
    <phoneticPr fontId="1" type="noConversion"/>
  </si>
  <si>
    <t>산재신청함
241216
근재서류제출</t>
    <phoneticPr fontId="1" type="noConversion"/>
  </si>
  <si>
    <t>산재신청
241216
근재서류제출</t>
    <phoneticPr fontId="1" type="noConversion"/>
  </si>
  <si>
    <t>치료비
(원)</t>
    <phoneticPr fontId="1" type="noConversion"/>
  </si>
  <si>
    <t>2025년</t>
    <phoneticPr fontId="1" type="noConversion"/>
  </si>
  <si>
    <t>● 2025년 근로자별 사고 비율</t>
    <phoneticPr fontId="1" type="noConversion"/>
  </si>
  <si>
    <t>석준수</t>
    <phoneticPr fontId="1" type="noConversion"/>
  </si>
  <si>
    <t>장위6구역</t>
    <phoneticPr fontId="1" type="noConversion"/>
  </si>
  <si>
    <t>CD배관을 들고 가설계단을 내려오다 시야확보가 어렵고, 가설계단에 결빙구간에 의해 미끄러져 발목을 접질림</t>
    <phoneticPr fontId="1" type="noConversion"/>
  </si>
  <si>
    <t>통행로에 결빙구간을 미리 확인하여 회피하는 등 자재 운반 시 주의 교육, 가설계단이 미끄러운 경우 해당업체에 조치 요청</t>
    <phoneticPr fontId="1" type="noConversion"/>
  </si>
  <si>
    <t>발목보조기 착용하에 업무가능 소견서 득, 종결</t>
    <phoneticPr fontId="1" type="noConversion"/>
  </si>
  <si>
    <t>지연일</t>
    <phoneticPr fontId="1" type="noConversion"/>
  </si>
  <si>
    <t>상해</t>
    <phoneticPr fontId="1" type="noConversion"/>
  </si>
  <si>
    <t>김진화</t>
    <phoneticPr fontId="1" type="noConversion"/>
  </si>
  <si>
    <t>1층 천장에 타정기를 사용하여 스틸박스 취부 중 이물질이 눈에 튐.</t>
    <phoneticPr fontId="1" type="noConversion"/>
  </si>
  <si>
    <t>이규영</t>
    <phoneticPr fontId="1" type="noConversion"/>
  </si>
  <si>
    <t>질병</t>
    <phoneticPr fontId="1" type="noConversion"/>
  </si>
  <si>
    <t>송영민</t>
    <phoneticPr fontId="1" type="noConversion"/>
  </si>
  <si>
    <t>청주테크노폴리스</t>
    <phoneticPr fontId="1" type="noConversion"/>
  </si>
  <si>
    <t>벽체배관 작업중 벽체박스에 CD관 연결작업 도중 CD관이 커넥터에 안들어가서 과도한 힘으로 넣다가 손목이 박스에 부딛치면서 오른쪽 손목인대 파열</t>
    <phoneticPr fontId="1" type="noConversion"/>
  </si>
  <si>
    <t>산업재해조사표 신고 후 치료비, 휴업급여 지급함</t>
    <phoneticPr fontId="1" type="noConversion"/>
  </si>
  <si>
    <t>작업 전 스트레칭 실시 후 작업</t>
    <phoneticPr fontId="1" type="noConversion"/>
  </si>
  <si>
    <t xml:space="preserve">소견서상 일해도 된다 - 치료비지급 후 종결 </t>
    <phoneticPr fontId="1" type="noConversion"/>
  </si>
  <si>
    <t>5/12보고(김진호)
초진기록지, 소견서 요청,
보이는데서 절뚝거리다가 안보이는데서 멀쩡함.
산재로 가기로 함</t>
    <phoneticPr fontId="1" type="noConversion"/>
  </si>
  <si>
    <t>김충남</t>
    <phoneticPr fontId="1" type="noConversion"/>
  </si>
  <si>
    <t>제주 THE K 호텔</t>
    <phoneticPr fontId="1" type="noConversion"/>
  </si>
  <si>
    <t xml:space="preserve"> 직영</t>
    <phoneticPr fontId="1" type="noConversion"/>
  </si>
  <si>
    <t>강종우</t>
    <phoneticPr fontId="1" type="noConversion"/>
  </si>
  <si>
    <t>이윤재</t>
    <phoneticPr fontId="1" type="noConversion"/>
  </si>
  <si>
    <t>6/5 공사5팀(모정욱)
법인카드결제 후 미신고, 소견서 없음
산재표 제출</t>
    <phoneticPr fontId="1" type="noConversion"/>
  </si>
  <si>
    <t>구리인창C구역</t>
    <phoneticPr fontId="1" type="noConversion"/>
  </si>
  <si>
    <t>2025년 사고사례 분석표</t>
    <phoneticPr fontId="1" type="noConversion"/>
  </si>
  <si>
    <t>당일보고
창상, 골절
CT찍어본다고함
월정직</t>
    <phoneticPr fontId="1" type="noConversion"/>
  </si>
  <si>
    <t>분전반을 양중할 때, 눞히게 되는 경우 아랫쪽을 높이 들게 되면 속핀이 이탈될 가능성이 커지므로 주의하여 양중할 것</t>
    <phoneticPr fontId="1" type="noConversion"/>
  </si>
  <si>
    <t>통신</t>
    <phoneticPr fontId="1" type="noConversion"/>
  </si>
  <si>
    <t>이택원</t>
    <phoneticPr fontId="1" type="noConversion"/>
  </si>
  <si>
    <t>이동통로 상 장애물을 확인하고 이동하도록 교육</t>
    <phoneticPr fontId="1" type="noConversion"/>
  </si>
  <si>
    <t>이유섭</t>
    <phoneticPr fontId="1" type="noConversion"/>
  </si>
  <si>
    <t>당일보고
미세골절(금이감)</t>
    <phoneticPr fontId="1" type="noConversion"/>
  </si>
  <si>
    <t>당일보고
미세골절(금이감)
통신기술자</t>
    <phoneticPr fontId="1" type="noConversion"/>
  </si>
  <si>
    <t>안전사다리를 이동하다가 사다리의 무게중심이 쏠려서 넘어지는 것을 무의식적으로 막으려다 왼속 팔목에 미세골절 발생</t>
    <phoneticPr fontId="1" type="noConversion"/>
  </si>
  <si>
    <t>작업발판 이동 시 2인 1조 작업 실시</t>
    <phoneticPr fontId="1" type="noConversion"/>
  </si>
  <si>
    <t>이동 중 전도되어 손가락 끝 골절(금)
치료비, 휴업급여 팀장 부담
4주진단서, 지장없음소견서
대우에서 산재표 제출 요청</t>
    <phoneticPr fontId="1" type="noConversion"/>
  </si>
  <si>
    <t>분전반의 핀이 빠지면서 문이떨어지는 것을 막으려다 속판 날카로운 부분에 가운데손가락이 찢어짐
병원에 관리자(정지훈안전과장)동행하여 치료
산재표 접수증 확인</t>
    <phoneticPr fontId="1" type="noConversion"/>
  </si>
  <si>
    <t>사다리 하강 중 작업자의 착지 실수로 우측 발목 통증</t>
    <phoneticPr fontId="1" type="noConversion"/>
  </si>
  <si>
    <t>사고 원인 작업</t>
    <phoneticPr fontId="1" type="noConversion"/>
  </si>
  <si>
    <t>이동중 사고</t>
    <phoneticPr fontId="1" type="noConversion"/>
  </si>
  <si>
    <t>사다리작업</t>
    <phoneticPr fontId="1" type="noConversion"/>
  </si>
  <si>
    <t>분전반</t>
    <phoneticPr fontId="1" type="noConversion"/>
  </si>
  <si>
    <t>압착기</t>
    <phoneticPr fontId="1" type="noConversion"/>
  </si>
  <si>
    <t>지게차</t>
    <phoneticPr fontId="1" type="noConversion"/>
  </si>
  <si>
    <t>철거작업</t>
    <phoneticPr fontId="1" type="noConversion"/>
  </si>
  <si>
    <t>배관작업</t>
    <phoneticPr fontId="1" type="noConversion"/>
  </si>
  <si>
    <t>풀링작업</t>
    <phoneticPr fontId="1" type="noConversion"/>
  </si>
  <si>
    <t>입선작업</t>
    <phoneticPr fontId="1" type="noConversion"/>
  </si>
  <si>
    <t>자재운반</t>
    <phoneticPr fontId="1" type="noConversion"/>
  </si>
  <si>
    <t>공구 교체작업</t>
    <phoneticPr fontId="1" type="noConversion"/>
  </si>
  <si>
    <t>케이블 탈피작업</t>
    <phoneticPr fontId="1" type="noConversion"/>
  </si>
  <si>
    <t>빙판</t>
    <phoneticPr fontId="1" type="noConversion"/>
  </si>
  <si>
    <t>말비계작업</t>
    <phoneticPr fontId="1" type="noConversion"/>
  </si>
  <si>
    <t>1. 평평한 곳에 사다리를 위치하여야 함. 2.사다리 작업을 지양하고 사용 시 안전벨트 착용 등 추락에 대비하여야 함</t>
    <phoneticPr fontId="1" type="noConversion"/>
  </si>
  <si>
    <t>커팅작업</t>
    <phoneticPr fontId="1" type="noConversion"/>
  </si>
  <si>
    <t>고소작업대 작업</t>
    <phoneticPr fontId="1" type="noConversion"/>
  </si>
  <si>
    <t>폭발</t>
    <phoneticPr fontId="1" type="noConversion"/>
  </si>
  <si>
    <t>자재 운반</t>
    <phoneticPr fontId="1" type="noConversion"/>
  </si>
  <si>
    <t>사고원인작업</t>
    <phoneticPr fontId="1" type="noConversion"/>
  </si>
  <si>
    <t>타공작업</t>
    <phoneticPr fontId="1" type="noConversion"/>
  </si>
  <si>
    <t>분전반 양중</t>
    <phoneticPr fontId="1" type="noConversion"/>
  </si>
  <si>
    <t>포설작업</t>
    <phoneticPr fontId="1" type="noConversion"/>
  </si>
  <si>
    <t>합계</t>
    <phoneticPr fontId="1" type="noConversion"/>
  </si>
  <si>
    <t>%</t>
    <phoneticPr fontId="1" type="noConversion"/>
  </si>
  <si>
    <t>사고작업</t>
    <phoneticPr fontId="1" type="noConversion"/>
  </si>
  <si>
    <t>총 계</t>
    <phoneticPr fontId="1" type="noConversion"/>
  </si>
  <si>
    <t>건</t>
    <phoneticPr fontId="1" type="noConversion"/>
  </si>
  <si>
    <t>사고 작업 분석표</t>
    <phoneticPr fontId="1" type="noConversion"/>
  </si>
  <si>
    <t>2024년</t>
    <phoneticPr fontId="1" type="noConversion"/>
  </si>
  <si>
    <t>2025년(상반기)</t>
    <phoneticPr fontId="1" type="noConversion"/>
  </si>
  <si>
    <t>유성호</t>
    <phoneticPr fontId="1" type="noConversion"/>
  </si>
  <si>
    <t>당일 보고
산재표 작성,
계속 근무중</t>
    <phoneticPr fontId="1" type="noConversion"/>
  </si>
  <si>
    <t>PDB 북측 화장실 앞 개구부에서 근로자 이동 중, 개구부(우수관로) 커버가 이탈되면서 왼쪽 발이 빠져 염좌</t>
    <phoneticPr fontId="1" type="noConversion"/>
  </si>
  <si>
    <t>관리감독자가 이동통로 점검</t>
    <phoneticPr fontId="1" type="noConversion"/>
  </si>
  <si>
    <t>롯데바이오로직스</t>
    <phoneticPr fontId="1" type="noConversion"/>
  </si>
  <si>
    <t>김대호</t>
    <phoneticPr fontId="1" type="noConversion"/>
  </si>
  <si>
    <t>진단
주수</t>
    <phoneticPr fontId="1" type="noConversion"/>
  </si>
  <si>
    <t>BYC완주
스마트물류센터</t>
    <phoneticPr fontId="1" type="noConversion"/>
  </si>
  <si>
    <t>김영기</t>
    <phoneticPr fontId="1" type="noConversion"/>
  </si>
  <si>
    <t>타공작업 시 보안경착용하여 눈 보호</t>
    <phoneticPr fontId="1" type="noConversion"/>
  </si>
  <si>
    <t>말비계에서 내려올 때에는 다른 시설 등을 짚지 않고 내려올 것을 교육</t>
    <phoneticPr fontId="1" type="noConversion"/>
  </si>
  <si>
    <r>
      <t xml:space="preserve">말비계에서 내려오다가 고정되지 않은 가시설을 짚다가 중심을 잃고 무릎을 부딪혀 상해입었다고 주장하고 있음.
5/26 </t>
    </r>
    <r>
      <rPr>
        <b/>
        <sz val="11"/>
        <color theme="1"/>
        <rFont val="맑은 고딕"/>
        <family val="3"/>
        <charset val="129"/>
        <scheme val="minor"/>
      </rPr>
      <t>불인정 신고</t>
    </r>
    <r>
      <rPr>
        <sz val="11"/>
        <color theme="1"/>
        <rFont val="맑은 고딕"/>
        <family val="2"/>
        <scheme val="minor"/>
      </rPr>
      <t>, 동영상 전송
6/13 불승인 결과 확인전화 (조사 진행중이라고 함)
승인 통보 시 바로 대체지급신청 예정
7/02 산재 인정됨 - 대체지급신청함</t>
    </r>
    <phoneticPr fontId="1" type="noConversion"/>
  </si>
  <si>
    <t>사다리 등 하강 시에는 답단 하나씩 밟고 내려올 것</t>
    <phoneticPr fontId="1" type="noConversion"/>
  </si>
  <si>
    <t>김민규</t>
    <phoneticPr fontId="1" type="noConversion"/>
  </si>
  <si>
    <t>오전 10시 102동 1층에서, 이동통로에서 바닥의 신승각을 밟고 중심을 잃고 넘어지면서 적재되어있는 자재 코너비드에 오른쪽 허벅지 창상</t>
    <phoneticPr fontId="1" type="noConversion"/>
  </si>
  <si>
    <t>근로자 이동통로에는 항상 자재를 정리정돈이 된 상태로 유지할 것</t>
    <phoneticPr fontId="1" type="noConversion"/>
  </si>
  <si>
    <t>진흥 해링턴플레이스 감삼</t>
    <phoneticPr fontId="1" type="noConversion"/>
  </si>
  <si>
    <t>o</t>
    <phoneticPr fontId="1" type="noConversion"/>
  </si>
  <si>
    <t xml:space="preserve">산재표 진흥기업에서 처리, </t>
    <phoneticPr fontId="1" type="noConversion"/>
  </si>
  <si>
    <t>맹주협</t>
    <phoneticPr fontId="1" type="noConversion"/>
  </si>
  <si>
    <t>휴업급여
(원)</t>
    <phoneticPr fontId="1" type="noConversion"/>
  </si>
  <si>
    <t>신세계 스타필드청라 전기공사</t>
    <phoneticPr fontId="1" type="noConversion"/>
  </si>
  <si>
    <t>취업치료 가능 소견, 재해자개인카드</t>
    <phoneticPr fontId="1" type="noConversion"/>
  </si>
  <si>
    <t>오전9시 돔 B4번계단 4층 계단 이동 중 발을 헛디뎌 왼쪽 발을 삐끗함</t>
    <phoneticPr fontId="1" type="noConversion"/>
  </si>
  <si>
    <t>이동 시 주의하여 이동</t>
    <phoneticPr fontId="1" type="noConversion"/>
  </si>
  <si>
    <t>손귀동</t>
    <phoneticPr fontId="1" type="noConversion"/>
  </si>
  <si>
    <t>타업체 shop장 내 석고보드 재설치를 위해 단독 이동 중 오른쪽에 주차된 대차와 라바콘으로 구획설정된 사이 공간으로 이동 중 대차에 적재된 비계발판고리에 부딪혀 오른쪽 무릎 타박상</t>
    <phoneticPr fontId="1" type="noConversion"/>
  </si>
  <si>
    <t>작업구역 이동 시 주변환경 살피도록 교육</t>
    <phoneticPr fontId="1" type="noConversion"/>
  </si>
  <si>
    <t>최석민</t>
    <phoneticPr fontId="1" type="noConversion"/>
  </si>
  <si>
    <t>11/5 산재표 신고</t>
    <phoneticPr fontId="1" type="noConversion"/>
  </si>
  <si>
    <t>10/2 산재표 신고</t>
    <phoneticPr fontId="1" type="noConversion"/>
  </si>
  <si>
    <t>고소작업대 이용 트레이 설치작업 중 트레이와 트레이렁 사이 손톱 끝이 협착</t>
    <phoneticPr fontId="1" type="noConversion"/>
  </si>
  <si>
    <t>고소작업대</t>
    <phoneticPr fontId="1" type="noConversion"/>
  </si>
  <si>
    <t>TBM 시 반복교육 실시 및 정기교육 시 반복적 안전교육 실시 (협착방지장갑 착용)</t>
    <phoneticPr fontId="1" type="noConversion"/>
  </si>
  <si>
    <t>진흥에서 산업재해 처리
근로자 개인카드
당사 비용 부담없음.</t>
    <phoneticPr fontId="1" type="noConversion"/>
  </si>
  <si>
    <t>비고</t>
    <phoneticPr fontId="1" type="noConversion"/>
  </si>
  <si>
    <t>품의 미제출
법인카드로 사고처리</t>
    <phoneticPr fontId="1" type="noConversion"/>
  </si>
  <si>
    <t>X</t>
    <phoneticPr fontId="1" type="noConversion"/>
  </si>
  <si>
    <t>직영</t>
    <phoneticPr fontId="1" type="noConversion"/>
  </si>
  <si>
    <t>신준영</t>
    <phoneticPr fontId="1" type="noConversion"/>
  </si>
  <si>
    <t>WWT 3층 비계위에서 하단 작업 중 배관을 잡고 숙여서 고정하다가 허리에 염좌.</t>
    <phoneticPr fontId="1" type="noConversion"/>
  </si>
  <si>
    <t>근골격계질환</t>
    <phoneticPr fontId="1" type="noConversion"/>
  </si>
  <si>
    <t>기술인의 불안전한 행동으로 인한 사고</t>
    <phoneticPr fontId="1" type="noConversion"/>
  </si>
  <si>
    <t>김대호</t>
    <phoneticPr fontId="1" type="noConversion"/>
  </si>
  <si>
    <t>단순 염좌
진단서상 가벼운업무 가능소견</t>
    <phoneticPr fontId="1" type="noConversion"/>
  </si>
  <si>
    <t>비계</t>
    <phoneticPr fontId="1" type="noConversion"/>
  </si>
  <si>
    <t>배관</t>
    <phoneticPr fontId="1" type="noConversion"/>
  </si>
  <si>
    <t>계속 출근</t>
    <phoneticPr fontId="1" type="noConversion"/>
  </si>
  <si>
    <t>고영덕</t>
    <phoneticPr fontId="1" type="noConversion"/>
  </si>
  <si>
    <t>O</t>
    <phoneticPr fontId="1" type="noConversion"/>
  </si>
  <si>
    <t>김충남</t>
    <phoneticPr fontId="1" type="noConversion"/>
  </si>
  <si>
    <t>10/29~11/19 까지 휴무</t>
    <phoneticPr fontId="1" type="noConversion"/>
  </si>
  <si>
    <t>케이블 드럼을 옮기는 도중 예상치못하게 드럼이 쓰러지며 오른쪽 새끼손가락이 드럼사이에 협착</t>
    <phoneticPr fontId="1" type="noConversion"/>
  </si>
  <si>
    <t>자재 운반</t>
    <phoneticPr fontId="1" type="noConversion"/>
  </si>
  <si>
    <t>1. 중량물 취급 및 압착 위험에 대한 사고사례 전파
2. 중량물 작업을 위한 압착방지장갑 지급 및 착용여부 점검</t>
    <phoneticPr fontId="1" type="noConversion"/>
  </si>
  <si>
    <t>김태훈</t>
    <phoneticPr fontId="1" type="noConversion"/>
  </si>
  <si>
    <t>12/5 산재표신고</t>
    <phoneticPr fontId="1" type="noConversion"/>
  </si>
  <si>
    <t>석고보드를 치우려다 석고보드가 넘어지면서 발등을 찍힘</t>
    <phoneticPr fontId="1" type="noConversion"/>
  </si>
  <si>
    <t>김승모</t>
    <phoneticPr fontId="1" type="noConversion"/>
  </si>
  <si>
    <t>전도</t>
    <phoneticPr fontId="1" type="noConversion"/>
  </si>
  <si>
    <t>중량물 취급시 도구 및 2인 1조 작업실시, 동종재해가 발생하지 않도록 전파교육 실시</t>
    <phoneticPr fontId="1" type="noConversion"/>
  </si>
  <si>
    <t>나이</t>
    <phoneticPr fontId="1" type="noConversion"/>
  </si>
  <si>
    <t>요일</t>
    <phoneticPr fontId="1" type="noConversion"/>
  </si>
  <si>
    <t xml:space="preserve">오늘날짜 : </t>
    <phoneticPr fontId="1" type="noConversion"/>
  </si>
  <si>
    <t>생년월일</t>
    <phoneticPr fontId="1" type="noConversion"/>
  </si>
  <si>
    <t>x</t>
    <phoneticPr fontId="1" type="noConversion"/>
  </si>
  <si>
    <t>타업체</t>
    <phoneticPr fontId="1" type="noConversion"/>
  </si>
  <si>
    <t>압착기 사용 중 손가락 협착 (자료없음)</t>
    <phoneticPr fontId="1" type="noConversion"/>
  </si>
  <si>
    <t>계단에서 발목인대 부분파열 (자료없음)</t>
    <phoneticPr fontId="1" type="noConversion"/>
  </si>
  <si>
    <t>계단에서 미끄러져 발목 인대 부분파열 (자료없음)</t>
    <phoneticPr fontId="1" type="noConversion"/>
  </si>
  <si>
    <t>심혈관질환-심폐소생술 (본인질환)</t>
    <phoneticPr fontId="1" type="noConversion"/>
  </si>
  <si>
    <t>석덕수</t>
    <phoneticPr fontId="1" type="noConversion"/>
  </si>
  <si>
    <t>x</t>
    <phoneticPr fontId="1" type="noConversion"/>
  </si>
  <si>
    <t>출근가능 소견</t>
    <phoneticPr fontId="1" type="noConversion"/>
  </si>
  <si>
    <t>서준혁</t>
    <phoneticPr fontId="1" type="noConversion"/>
  </si>
  <si>
    <t>2일후 근로가능소견</t>
    <phoneticPr fontId="1" type="noConversion"/>
  </si>
  <si>
    <t>김대호</t>
    <phoneticPr fontId="1" type="noConversion"/>
  </si>
  <si>
    <t>녹슨 못에 우측 발바닥 수상 후 발생한 열린 상처
48시간 이상 경과한 시점 업무복귀 가능 소견서 득</t>
    <phoneticPr fontId="1" type="noConversion"/>
  </si>
  <si>
    <t>트레이설치용 파이프렉의 비계상부 이동중 클램프에 부딪혀 오른쪽 무릎에 창상을 입음</t>
    <phoneticPr fontId="1" type="noConversion"/>
  </si>
  <si>
    <t>신승진</t>
    <phoneticPr fontId="1" type="noConversion"/>
  </si>
  <si>
    <t>x</t>
    <phoneticPr fontId="1" type="noConversion"/>
  </si>
  <si>
    <t>풀박스 홀쏘 타공중 무게중심이 파괴되어 왼손 엄지손가락쪽 인대가 파열되었다고 주장함.
목격자(신호수)는 사고사실없다고 진술.</t>
    <phoneticPr fontId="1" type="noConversion"/>
  </si>
  <si>
    <t>창상</t>
    <phoneticPr fontId="1" type="noConversion"/>
  </si>
  <si>
    <t>충돌</t>
    <phoneticPr fontId="1" type="noConversion"/>
  </si>
  <si>
    <t>풀박스 홀쏘 타공중 무게중심이 파괴되어 왼손 엄지손가락쪽 인대가 파열되었다고 주장함.
목격자(신호수)는 사고사실 없다고 진술.
치료비-소장결제, 산재조사표 제출 예정</t>
    <phoneticPr fontId="1" type="noConversion"/>
  </si>
  <si>
    <t>황태일</t>
    <phoneticPr fontId="1" type="noConversion"/>
  </si>
  <si>
    <t>오영택</t>
    <phoneticPr fontId="1" type="noConversion"/>
  </si>
  <si>
    <t>조현유</t>
    <phoneticPr fontId="1" type="noConversion"/>
  </si>
  <si>
    <t>무리한 행동 금지</t>
    <phoneticPr fontId="1" type="noConversion"/>
  </si>
  <si>
    <t>염좌</t>
    <phoneticPr fontId="1" type="noConversion"/>
  </si>
  <si>
    <t>2일후 소견서요청</t>
    <phoneticPr fontId="1" type="noConversion"/>
  </si>
  <si>
    <t>트레이 위 포설작업 중 전선을 당기다가 허리 염좌
소견서 요청하였으나, 시기를 놓치고 6일 후 소견서받음</t>
    <phoneticPr fontId="1" type="noConversion"/>
  </si>
  <si>
    <t>마무리작업</t>
    <phoneticPr fontId="1" type="noConversion"/>
  </si>
  <si>
    <t>시스템박스 합판고정 중 망치로 두들기는 순간 왼쪽 중지에 맞음 (단독작업), 산재처리 절대 원하지 않는다는 재해자진술서</t>
    <phoneticPr fontId="1" type="noConversion"/>
  </si>
  <si>
    <t>오민태</t>
    <phoneticPr fontId="1" type="noConversion"/>
  </si>
  <si>
    <t>요양급여신청하겠다고 함. 치료비 지급 중지
산재표 신고예정</t>
    <phoneticPr fontId="1" type="noConversion"/>
  </si>
  <si>
    <t>산재를 강하게 거부</t>
    <phoneticPr fontId="1" type="noConversion"/>
  </si>
  <si>
    <t>창문에 끼이면서 우측5수지 통증, 골절진단,</t>
    <phoneticPr fontId="1" type="noConversion"/>
  </si>
  <si>
    <t xml:space="preserve">집창문에 끼었다고 병원진술. 현장에서 다친건지 확인필요. </t>
    <phoneticPr fontId="1" type="noConversion"/>
  </si>
  <si>
    <t>정승환</t>
    <phoneticPr fontId="1" type="noConversion"/>
  </si>
  <si>
    <t>HVAC</t>
    <phoneticPr fontId="1" type="noConversion"/>
  </si>
  <si>
    <t>출근 시 현장주차장에서 요추 염좌
사고에 대한 교육, 재발방지, 수시위평 반영요청하였으나 반려상태.</t>
    <phoneticPr fontId="1" type="noConversion"/>
  </si>
  <si>
    <t>반려</t>
    <phoneticPr fontId="1" type="noConversion"/>
  </si>
  <si>
    <t>롯데바이오 사고사례 분석표</t>
    <phoneticPr fontId="1" type="noConversion"/>
  </si>
  <si>
    <t>생년</t>
    <phoneticPr fontId="1" type="noConversion"/>
  </si>
  <si>
    <t>다음날보고</t>
    <phoneticPr fontId="1" type="noConversion"/>
  </si>
  <si>
    <t>요양급여신청함
롯데건설 불승인진행중</t>
    <phoneticPr fontId="1" type="noConversion"/>
  </si>
  <si>
    <t>산업재해표 신고 대기중</t>
    <phoneticPr fontId="1" type="noConversion"/>
  </si>
  <si>
    <t>109동 지하1층 휴게실 앞 노출배관보양박스 제작 중 우측 가슴 골절, 산업재해조사표 작성, 신고대기</t>
    <phoneticPr fontId="1" type="noConversion"/>
  </si>
  <si>
    <t>김천혁신</t>
    <phoneticPr fontId="1" type="noConversion"/>
  </si>
  <si>
    <t>안준영</t>
    <phoneticPr fontId="1" type="noConversion"/>
  </si>
  <si>
    <t>소견서 이상없음</t>
    <phoneticPr fontId="1" type="noConversion"/>
  </si>
  <si>
    <t>충분한 스트레칭 실시</t>
    <phoneticPr fontId="1" type="noConversion"/>
  </si>
  <si>
    <t>신규근로자 2인1조 작업 의무</t>
    <phoneticPr fontId="1" type="noConversion"/>
  </si>
  <si>
    <t>건설 현장 근무에 지장 없음</t>
    <phoneticPr fontId="1" type="noConversion"/>
  </si>
  <si>
    <t>이동통로 장애물 제거 및
전방주시 철저 교육</t>
    <phoneticPr fontId="1" type="noConversion"/>
  </si>
  <si>
    <t>김지민</t>
    <phoneticPr fontId="1" type="noConversion"/>
  </si>
  <si>
    <t>고소작업대 과상승방지봉 조작</t>
    <phoneticPr fontId="1" type="noConversion"/>
  </si>
  <si>
    <t>TBM 반복교육 실시</t>
    <phoneticPr fontId="1" type="noConversion"/>
  </si>
  <si>
    <t>과상승방지봉을 내리려 핀을 뺀 후 내려오는 봉에 손가락 협착
건설 현장 근무에 지장 없음 소견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</si>
</sst>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&quot;월&quot;\ dd&quot;일&quot;"/>
    <numFmt numFmtId="177" formatCode="mm/dd;@"/>
    <numFmt numFmtId="178" formatCode="#,##0_ "/>
    <numFmt numFmtId="179" formatCode="#,##0_);[Red]\(#,##0\)"/>
    <numFmt numFmtId="180" formatCode="yyyy"/>
  </numFmts>
  <fonts count="1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177" fontId="0" fillId="3" borderId="4" xfId="0" applyNumberForma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78" fontId="0" fillId="3" borderId="4" xfId="0" applyNumberFormat="1" applyFill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4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179" fontId="0" fillId="0" borderId="0" xfId="0" applyNumberFormat="1"/>
    <xf numFmtId="179" fontId="0" fillId="0" borderId="0" xfId="0" applyNumberFormat="1" applyAlignment="1">
      <alignment vertical="center"/>
    </xf>
    <xf numFmtId="0" fontId="3" fillId="0" borderId="0" xfId="0" applyFont="1" applyAlignment="1">
      <alignment horizontal="left" vertical="top"/>
    </xf>
    <xf numFmtId="178" fontId="0" fillId="3" borderId="5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176" fontId="0" fillId="0" borderId="1" xfId="0" applyNumberFormat="1" applyBorder="1" applyAlignment="1">
      <alignment horizontal="left" vertical="center" wrapText="1" inden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 indent="1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vertical="center"/>
    </xf>
    <xf numFmtId="0" fontId="3" fillId="0" borderId="0" xfId="0" applyFont="1" applyAlignment="1">
      <alignment horizontal="left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7" fillId="0" borderId="5" xfId="0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77" fontId="9" fillId="3" borderId="12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left" vertical="center" wrapText="1" indent="1"/>
    </xf>
    <xf numFmtId="0" fontId="0" fillId="0" borderId="12" xfId="0" applyBorder="1" applyAlignment="1">
      <alignment horizontal="left" vertical="center" wrapText="1" indent="1"/>
    </xf>
    <xf numFmtId="176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6" xfId="0" quotePrefix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76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12" fillId="5" borderId="5" xfId="0" applyFont="1" applyFill="1" applyBorder="1" applyAlignment="1">
      <alignment horizontal="left" vertical="center" wrapText="1" indent="1"/>
    </xf>
    <xf numFmtId="14" fontId="0" fillId="0" borderId="0" xfId="0" applyNumberFormat="1"/>
    <xf numFmtId="0" fontId="13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 wrapText="1"/>
    </xf>
    <xf numFmtId="178" fontId="10" fillId="3" borderId="4" xfId="0" applyNumberFormat="1" applyFont="1" applyFill="1" applyBorder="1" applyAlignment="1">
      <alignment horizontal="right" vertical="center"/>
    </xf>
    <xf numFmtId="179" fontId="10" fillId="0" borderId="1" xfId="0" applyNumberFormat="1" applyFont="1" applyBorder="1" applyAlignment="1">
      <alignment horizontal="center" vertical="center" wrapText="1"/>
    </xf>
    <xf numFmtId="178" fontId="10" fillId="3" borderId="1" xfId="0" applyNumberFormat="1" applyFont="1" applyFill="1" applyBorder="1" applyAlignment="1">
      <alignment horizontal="right" vertical="center"/>
    </xf>
    <xf numFmtId="179" fontId="10" fillId="0" borderId="5" xfId="0" applyNumberFormat="1" applyFont="1" applyBorder="1" applyAlignment="1">
      <alignment horizontal="center" vertical="center" wrapText="1"/>
    </xf>
    <xf numFmtId="178" fontId="10" fillId="3" borderId="5" xfId="0" applyNumberFormat="1" applyFont="1" applyFill="1" applyBorder="1" applyAlignment="1">
      <alignment horizontal="center" vertical="center"/>
    </xf>
    <xf numFmtId="179" fontId="10" fillId="0" borderId="17" xfId="0" applyNumberFormat="1" applyFont="1" applyBorder="1" applyAlignment="1">
      <alignment vertical="center"/>
    </xf>
    <xf numFmtId="178" fontId="10" fillId="3" borderId="5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8" borderId="9" xfId="0" applyFont="1" applyFill="1" applyBorder="1" applyAlignment="1">
      <alignment horizontal="left" vertical="center"/>
    </xf>
    <xf numFmtId="9" fontId="3" fillId="8" borderId="7" xfId="0" applyNumberFormat="1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5" fillId="8" borderId="24" xfId="0" applyFont="1" applyFill="1" applyBorder="1" applyAlignment="1">
      <alignment horizontal="left" vertical="center"/>
    </xf>
    <xf numFmtId="0" fontId="3" fillId="8" borderId="25" xfId="0" applyFont="1" applyFill="1" applyBorder="1" applyAlignment="1">
      <alignment horizontal="center" vertical="center"/>
    </xf>
    <xf numFmtId="9" fontId="15" fillId="8" borderId="26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9" fontId="3" fillId="0" borderId="20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5" fillId="0" borderId="23" xfId="0" applyFont="1" applyBorder="1" applyAlignment="1">
      <alignment horizontal="right" vertical="center"/>
    </xf>
    <xf numFmtId="0" fontId="3" fillId="0" borderId="18" xfId="0" applyFont="1" applyBorder="1" applyAlignment="1">
      <alignment horizontal="left" vertical="center"/>
    </xf>
    <xf numFmtId="178" fontId="10" fillId="0" borderId="5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27" xfId="0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8" xfId="0" applyBorder="1" applyAlignment="1">
      <alignment vertical="top"/>
    </xf>
    <xf numFmtId="177" fontId="0" fillId="0" borderId="1" xfId="0" applyNumberForma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14" fontId="0" fillId="0" borderId="4" xfId="0" quotePrefix="1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표준" xfId="0" builtinId="0"/>
  </cellStyles>
  <dxfs count="4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b/>
        <i val="0"/>
        <color rgb="FF9C0006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T30"/>
  <sheetViews>
    <sheetView showGridLines="0" zoomScale="85" zoomScaleNormal="85" workbookViewId="0">
      <pane ySplit="2" topLeftCell="A27" activePane="bottomLeft" state="frozen"/>
      <selection pane="bottomLeft" activeCell="C28" sqref="C28"/>
    </sheetView>
  </sheetViews>
  <sheetFormatPr defaultRowHeight="16.5" x14ac:dyDescent="0.3"/>
  <cols>
    <col min="1" max="1" width="8.125" customWidth="1"/>
    <col min="2" max="2" width="5.125" customWidth="1"/>
    <col min="3" max="3" width="8.25" customWidth="1"/>
    <col min="5" max="5" width="9.125" customWidth="1"/>
    <col min="6" max="6" width="15.875" customWidth="1"/>
    <col min="7" max="7" width="5.5" style="1" customWidth="1"/>
    <col min="8" max="8" width="9" style="49" customWidth="1"/>
    <col min="9" max="9" width="10.875" style="1" customWidth="1"/>
    <col min="10" max="10" width="7.125" style="1" customWidth="1"/>
    <col min="11" max="11" width="41.625" customWidth="1"/>
    <col min="12" max="12" width="17.25" customWidth="1"/>
    <col min="13" max="13" width="6.125" style="14" customWidth="1"/>
    <col min="14" max="14" width="15.625" customWidth="1"/>
    <col min="15" max="15" width="7.625" customWidth="1"/>
    <col min="16" max="16" width="10" customWidth="1"/>
    <col min="17" max="17" width="11" customWidth="1"/>
    <col min="18" max="18" width="6.5" customWidth="1"/>
    <col min="19" max="19" width="5.625" customWidth="1"/>
    <col min="20" max="20" width="6" style="1" customWidth="1"/>
  </cols>
  <sheetData>
    <row r="1" spans="1:20" ht="48.75" customHeight="1" x14ac:dyDescent="0.3">
      <c r="B1" s="50" t="s">
        <v>198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s="1" customFormat="1" ht="35.25" customHeight="1" x14ac:dyDescent="0.3">
      <c r="A2" s="18"/>
      <c r="B2" s="11" t="s">
        <v>26</v>
      </c>
      <c r="C2" s="11" t="s">
        <v>32</v>
      </c>
      <c r="D2" s="11" t="s">
        <v>27</v>
      </c>
      <c r="E2" s="12" t="s">
        <v>124</v>
      </c>
      <c r="F2" s="12" t="s">
        <v>30</v>
      </c>
      <c r="G2" s="12" t="s">
        <v>187</v>
      </c>
      <c r="H2" s="12" t="s">
        <v>195</v>
      </c>
      <c r="I2" s="12" t="s">
        <v>111</v>
      </c>
      <c r="J2" s="12" t="s">
        <v>119</v>
      </c>
      <c r="K2" s="11" t="s">
        <v>82</v>
      </c>
      <c r="L2" s="11" t="s">
        <v>418</v>
      </c>
      <c r="M2" s="11" t="s">
        <v>83</v>
      </c>
      <c r="N2" s="11" t="s">
        <v>28</v>
      </c>
      <c r="O2" s="11" t="s">
        <v>31</v>
      </c>
      <c r="P2" s="12" t="s">
        <v>140</v>
      </c>
      <c r="Q2" s="11" t="s">
        <v>33</v>
      </c>
      <c r="R2" s="12" t="s">
        <v>38</v>
      </c>
      <c r="S2" s="12" t="s">
        <v>94</v>
      </c>
      <c r="T2" s="11" t="s">
        <v>37</v>
      </c>
    </row>
    <row r="3" spans="1:20" ht="30" customHeight="1" x14ac:dyDescent="0.3">
      <c r="A3" s="140" t="s">
        <v>193</v>
      </c>
      <c r="B3" s="7">
        <v>1</v>
      </c>
      <c r="C3" s="7">
        <v>690619</v>
      </c>
      <c r="D3" s="7" t="s">
        <v>1</v>
      </c>
      <c r="E3" s="41" t="s">
        <v>141</v>
      </c>
      <c r="F3" s="136">
        <v>44936</v>
      </c>
      <c r="G3" s="44"/>
      <c r="H3" s="46" t="s">
        <v>194</v>
      </c>
      <c r="I3" s="10">
        <v>3180480</v>
      </c>
      <c r="J3" s="7" t="s">
        <v>35</v>
      </c>
      <c r="K3" s="20" t="s">
        <v>79</v>
      </c>
      <c r="L3" s="20" t="s">
        <v>419</v>
      </c>
      <c r="M3" s="7" t="s">
        <v>84</v>
      </c>
      <c r="N3" s="7" t="s">
        <v>105</v>
      </c>
      <c r="O3" s="7" t="s">
        <v>47</v>
      </c>
      <c r="P3" s="42" t="s">
        <v>142</v>
      </c>
      <c r="Q3" s="9">
        <v>44879</v>
      </c>
      <c r="R3" s="7">
        <f t="shared" ref="R3:R30" si="0">F3-Q3</f>
        <v>57</v>
      </c>
      <c r="S3" s="7">
        <v>4</v>
      </c>
      <c r="T3" s="7" t="s">
        <v>36</v>
      </c>
    </row>
    <row r="4" spans="1:20" ht="30" customHeight="1" x14ac:dyDescent="0.3">
      <c r="A4" s="140"/>
      <c r="B4" s="2">
        <v>2</v>
      </c>
      <c r="C4" s="2">
        <v>620915</v>
      </c>
      <c r="D4" s="2" t="s">
        <v>2</v>
      </c>
      <c r="E4" s="41" t="s">
        <v>143</v>
      </c>
      <c r="F4" s="135">
        <v>44968</v>
      </c>
      <c r="G4" s="45"/>
      <c r="H4" s="47" t="s">
        <v>194</v>
      </c>
      <c r="I4" s="6">
        <v>4550000</v>
      </c>
      <c r="J4" s="2" t="s">
        <v>35</v>
      </c>
      <c r="K4" s="21" t="s">
        <v>67</v>
      </c>
      <c r="L4" s="21" t="s">
        <v>420</v>
      </c>
      <c r="M4" s="2" t="s">
        <v>85</v>
      </c>
      <c r="N4" s="2" t="s">
        <v>104</v>
      </c>
      <c r="O4" s="2" t="s">
        <v>34</v>
      </c>
      <c r="P4" s="42" t="s">
        <v>144</v>
      </c>
      <c r="Q4" s="3">
        <v>44746</v>
      </c>
      <c r="R4" s="2">
        <f t="shared" si="0"/>
        <v>222</v>
      </c>
      <c r="S4" s="2">
        <v>1</v>
      </c>
      <c r="T4" s="2" t="s">
        <v>36</v>
      </c>
    </row>
    <row r="5" spans="1:20" ht="30" customHeight="1" x14ac:dyDescent="0.3">
      <c r="A5" s="140"/>
      <c r="B5" s="2">
        <v>3</v>
      </c>
      <c r="C5" s="2">
        <v>840406</v>
      </c>
      <c r="D5" s="2" t="s">
        <v>0</v>
      </c>
      <c r="E5" s="41" t="s">
        <v>145</v>
      </c>
      <c r="F5" s="135">
        <v>45000</v>
      </c>
      <c r="G5" s="28" t="s">
        <v>35</v>
      </c>
      <c r="H5" s="47" t="s">
        <v>194</v>
      </c>
      <c r="I5" s="6">
        <v>0</v>
      </c>
      <c r="J5" s="2" t="s">
        <v>35</v>
      </c>
      <c r="K5" s="21" t="s">
        <v>68</v>
      </c>
      <c r="L5" s="21" t="s">
        <v>421</v>
      </c>
      <c r="M5" s="2" t="s">
        <v>86</v>
      </c>
      <c r="N5" s="2" t="s">
        <v>117</v>
      </c>
      <c r="O5" s="2" t="s">
        <v>46</v>
      </c>
      <c r="P5" s="42" t="s">
        <v>145</v>
      </c>
      <c r="Q5" s="3">
        <v>44987</v>
      </c>
      <c r="R5" s="2">
        <f t="shared" si="0"/>
        <v>13</v>
      </c>
      <c r="S5" s="2" t="s">
        <v>95</v>
      </c>
      <c r="T5" s="2" t="s">
        <v>36</v>
      </c>
    </row>
    <row r="6" spans="1:20" ht="30" customHeight="1" x14ac:dyDescent="0.3">
      <c r="A6" s="140"/>
      <c r="B6" s="2">
        <v>4</v>
      </c>
      <c r="C6" s="2">
        <v>750505</v>
      </c>
      <c r="D6" s="2" t="s">
        <v>3</v>
      </c>
      <c r="E6" s="41" t="s">
        <v>146</v>
      </c>
      <c r="F6" s="135">
        <v>45022</v>
      </c>
      <c r="G6" s="45"/>
      <c r="H6" s="47" t="s">
        <v>194</v>
      </c>
      <c r="I6" s="6">
        <v>300000</v>
      </c>
      <c r="J6" s="2"/>
      <c r="K6" s="21" t="s">
        <v>517</v>
      </c>
      <c r="L6" s="21" t="s">
        <v>422</v>
      </c>
      <c r="M6" s="2" t="s">
        <v>87</v>
      </c>
      <c r="N6" s="2" t="s">
        <v>103</v>
      </c>
      <c r="O6" s="2" t="s">
        <v>64</v>
      </c>
      <c r="P6" s="42" t="s">
        <v>147</v>
      </c>
      <c r="Q6" s="3">
        <v>44907</v>
      </c>
      <c r="R6" s="2">
        <f t="shared" si="0"/>
        <v>115</v>
      </c>
      <c r="S6" s="2">
        <v>2</v>
      </c>
      <c r="T6" s="2" t="s">
        <v>36</v>
      </c>
    </row>
    <row r="7" spans="1:20" ht="30" customHeight="1" x14ac:dyDescent="0.3">
      <c r="A7" s="140"/>
      <c r="B7" s="2">
        <v>5</v>
      </c>
      <c r="C7" s="2">
        <v>800222</v>
      </c>
      <c r="D7" s="2" t="s">
        <v>5</v>
      </c>
      <c r="E7" s="41" t="s">
        <v>148</v>
      </c>
      <c r="F7" s="135">
        <v>45033</v>
      </c>
      <c r="G7" s="45"/>
      <c r="H7" s="47" t="s">
        <v>194</v>
      </c>
      <c r="I7" s="6">
        <v>150000</v>
      </c>
      <c r="J7" s="2" t="s">
        <v>35</v>
      </c>
      <c r="K7" s="21" t="s">
        <v>518</v>
      </c>
      <c r="L7" s="21" t="s">
        <v>419</v>
      </c>
      <c r="M7" s="2" t="s">
        <v>84</v>
      </c>
      <c r="N7" s="2" t="s">
        <v>6</v>
      </c>
      <c r="O7" s="2" t="s">
        <v>40</v>
      </c>
      <c r="P7" s="42" t="s">
        <v>149</v>
      </c>
      <c r="Q7" s="3">
        <v>44970</v>
      </c>
      <c r="R7" s="2">
        <f t="shared" si="0"/>
        <v>63</v>
      </c>
      <c r="S7" s="2">
        <v>2</v>
      </c>
      <c r="T7" s="2" t="s">
        <v>45</v>
      </c>
    </row>
    <row r="8" spans="1:20" ht="30" customHeight="1" x14ac:dyDescent="0.3">
      <c r="A8" s="140"/>
      <c r="B8" s="2">
        <v>6</v>
      </c>
      <c r="C8" s="2">
        <v>950311</v>
      </c>
      <c r="D8" s="2" t="s">
        <v>4</v>
      </c>
      <c r="E8" s="41" t="s">
        <v>150</v>
      </c>
      <c r="F8" s="135">
        <v>45041</v>
      </c>
      <c r="G8" s="45" t="s">
        <v>35</v>
      </c>
      <c r="H8" s="47" t="s">
        <v>194</v>
      </c>
      <c r="I8" s="6">
        <v>3749210</v>
      </c>
      <c r="J8" s="2"/>
      <c r="K8" s="21" t="s">
        <v>69</v>
      </c>
      <c r="L8" s="21" t="s">
        <v>423</v>
      </c>
      <c r="M8" s="2" t="s">
        <v>87</v>
      </c>
      <c r="N8" s="2" t="s">
        <v>102</v>
      </c>
      <c r="O8" s="2" t="s">
        <v>39</v>
      </c>
      <c r="P8" s="42" t="s">
        <v>151</v>
      </c>
      <c r="Q8" s="3">
        <v>44662</v>
      </c>
      <c r="R8" s="2">
        <f t="shared" si="0"/>
        <v>379</v>
      </c>
      <c r="S8" s="2">
        <v>1</v>
      </c>
      <c r="T8" s="2" t="s">
        <v>44</v>
      </c>
    </row>
    <row r="9" spans="1:20" ht="30" customHeight="1" x14ac:dyDescent="0.3">
      <c r="A9" s="140"/>
      <c r="B9" s="2">
        <v>7</v>
      </c>
      <c r="C9" s="2">
        <v>700107</v>
      </c>
      <c r="D9" s="2" t="s">
        <v>8</v>
      </c>
      <c r="E9" s="41" t="s">
        <v>138</v>
      </c>
      <c r="F9" s="135">
        <v>45057</v>
      </c>
      <c r="G9" s="45"/>
      <c r="H9" s="47" t="s">
        <v>343</v>
      </c>
      <c r="I9" s="6">
        <v>3500000</v>
      </c>
      <c r="J9" s="2"/>
      <c r="K9" s="21" t="s">
        <v>70</v>
      </c>
      <c r="L9" s="21" t="s">
        <v>424</v>
      </c>
      <c r="M9" s="2" t="s">
        <v>85</v>
      </c>
      <c r="N9" s="2" t="s">
        <v>101</v>
      </c>
      <c r="O9" s="2" t="s">
        <v>41</v>
      </c>
      <c r="P9" s="42" t="s">
        <v>139</v>
      </c>
      <c r="Q9" s="3">
        <v>44958</v>
      </c>
      <c r="R9" s="2">
        <f t="shared" si="0"/>
        <v>99</v>
      </c>
      <c r="S9" s="2">
        <v>1</v>
      </c>
      <c r="T9" s="2" t="s">
        <v>36</v>
      </c>
    </row>
    <row r="10" spans="1:20" ht="30" customHeight="1" x14ac:dyDescent="0.3">
      <c r="A10" s="140"/>
      <c r="B10" s="2">
        <v>8</v>
      </c>
      <c r="C10" s="2">
        <v>810904</v>
      </c>
      <c r="D10" s="2" t="s">
        <v>7</v>
      </c>
      <c r="E10" s="41" t="s">
        <v>152</v>
      </c>
      <c r="F10" s="135">
        <v>45058</v>
      </c>
      <c r="G10" s="45" t="s">
        <v>35</v>
      </c>
      <c r="H10" s="47" t="s">
        <v>194</v>
      </c>
      <c r="I10" s="6">
        <v>0</v>
      </c>
      <c r="J10" s="2" t="s">
        <v>35</v>
      </c>
      <c r="K10" s="21" t="s">
        <v>71</v>
      </c>
      <c r="L10" s="21" t="s">
        <v>419</v>
      </c>
      <c r="M10" s="2" t="s">
        <v>84</v>
      </c>
      <c r="N10" s="2" t="s">
        <v>100</v>
      </c>
      <c r="O10" s="2" t="s">
        <v>42</v>
      </c>
      <c r="P10" s="42" t="s">
        <v>153</v>
      </c>
      <c r="Q10" s="3">
        <v>45050</v>
      </c>
      <c r="R10" s="2">
        <f t="shared" si="0"/>
        <v>8</v>
      </c>
      <c r="S10" s="2">
        <v>4</v>
      </c>
      <c r="T10" s="2" t="s">
        <v>43</v>
      </c>
    </row>
    <row r="11" spans="1:20" ht="30" customHeight="1" x14ac:dyDescent="0.3">
      <c r="A11" s="140"/>
      <c r="B11" s="2">
        <v>9</v>
      </c>
      <c r="C11" s="2">
        <v>880312</v>
      </c>
      <c r="D11" s="2" t="s">
        <v>9</v>
      </c>
      <c r="E11" s="41" t="s">
        <v>154</v>
      </c>
      <c r="F11" s="135">
        <v>45080</v>
      </c>
      <c r="G11" s="45"/>
      <c r="H11" s="47" t="s">
        <v>194</v>
      </c>
      <c r="I11" s="6">
        <v>560000</v>
      </c>
      <c r="J11" s="2"/>
      <c r="K11" s="21" t="s">
        <v>519</v>
      </c>
      <c r="L11" s="21" t="s">
        <v>419</v>
      </c>
      <c r="M11" s="2" t="s">
        <v>84</v>
      </c>
      <c r="N11" s="2" t="s">
        <v>99</v>
      </c>
      <c r="O11" s="2" t="s">
        <v>48</v>
      </c>
      <c r="P11" s="42" t="s">
        <v>155</v>
      </c>
      <c r="Q11" s="3">
        <v>44956</v>
      </c>
      <c r="R11" s="2">
        <f t="shared" si="0"/>
        <v>124</v>
      </c>
      <c r="S11" s="2">
        <v>1</v>
      </c>
      <c r="T11" s="2" t="s">
        <v>36</v>
      </c>
    </row>
    <row r="12" spans="1:20" ht="30" customHeight="1" x14ac:dyDescent="0.3">
      <c r="A12" s="140"/>
      <c r="B12" s="2">
        <v>10</v>
      </c>
      <c r="C12" s="2">
        <v>850524</v>
      </c>
      <c r="D12" s="2" t="s">
        <v>11</v>
      </c>
      <c r="E12" s="41" t="s">
        <v>156</v>
      </c>
      <c r="F12" s="135">
        <v>45084</v>
      </c>
      <c r="G12" s="45"/>
      <c r="H12" s="47" t="s">
        <v>194</v>
      </c>
      <c r="I12" s="6">
        <v>3000000</v>
      </c>
      <c r="J12" s="2"/>
      <c r="K12" s="21" t="s">
        <v>72</v>
      </c>
      <c r="L12" s="21" t="s">
        <v>419</v>
      </c>
      <c r="M12" s="2" t="s">
        <v>84</v>
      </c>
      <c r="N12" s="2" t="s">
        <v>12</v>
      </c>
      <c r="O12" s="2" t="s">
        <v>49</v>
      </c>
      <c r="P12" s="42" t="s">
        <v>157</v>
      </c>
      <c r="Q12" s="3">
        <v>44564</v>
      </c>
      <c r="R12" s="2">
        <f t="shared" si="0"/>
        <v>520</v>
      </c>
      <c r="S12" s="2">
        <v>4</v>
      </c>
      <c r="T12" s="2" t="s">
        <v>36</v>
      </c>
    </row>
    <row r="13" spans="1:20" ht="30" customHeight="1" x14ac:dyDescent="0.3">
      <c r="A13" s="140"/>
      <c r="B13" s="2">
        <v>11</v>
      </c>
      <c r="C13" s="2">
        <v>790422</v>
      </c>
      <c r="D13" s="2" t="s">
        <v>10</v>
      </c>
      <c r="E13" s="41" t="s">
        <v>158</v>
      </c>
      <c r="F13" s="135">
        <v>45104</v>
      </c>
      <c r="G13" s="45"/>
      <c r="H13" s="47" t="s">
        <v>194</v>
      </c>
      <c r="I13" s="6">
        <v>4000000</v>
      </c>
      <c r="J13" s="2" t="s">
        <v>35</v>
      </c>
      <c r="K13" s="21" t="s">
        <v>73</v>
      </c>
      <c r="L13" s="21" t="s">
        <v>425</v>
      </c>
      <c r="M13" s="2" t="s">
        <v>84</v>
      </c>
      <c r="N13" s="2" t="s">
        <v>98</v>
      </c>
      <c r="O13" s="2" t="s">
        <v>50</v>
      </c>
      <c r="P13" s="42" t="s">
        <v>159</v>
      </c>
      <c r="Q13" s="3">
        <v>45054</v>
      </c>
      <c r="R13" s="2">
        <f t="shared" si="0"/>
        <v>50</v>
      </c>
      <c r="S13" s="2">
        <v>4</v>
      </c>
      <c r="T13" s="2" t="s">
        <v>36</v>
      </c>
    </row>
    <row r="14" spans="1:20" ht="30" customHeight="1" x14ac:dyDescent="0.3">
      <c r="A14" s="140"/>
      <c r="B14" s="2">
        <v>12</v>
      </c>
      <c r="C14" s="2">
        <v>540920</v>
      </c>
      <c r="D14" s="2" t="s">
        <v>51</v>
      </c>
      <c r="E14" s="41" t="s">
        <v>160</v>
      </c>
      <c r="F14" s="135">
        <v>45112</v>
      </c>
      <c r="G14" s="45" t="s">
        <v>35</v>
      </c>
      <c r="H14" s="47" t="s">
        <v>340</v>
      </c>
      <c r="I14" s="6">
        <v>0</v>
      </c>
      <c r="J14" s="2" t="s">
        <v>35</v>
      </c>
      <c r="K14" s="32" t="s">
        <v>239</v>
      </c>
      <c r="L14" s="32" t="s">
        <v>422</v>
      </c>
      <c r="M14" s="2" t="s">
        <v>84</v>
      </c>
      <c r="N14" s="2" t="s">
        <v>97</v>
      </c>
      <c r="O14" s="2" t="s">
        <v>52</v>
      </c>
      <c r="P14" s="42" t="s">
        <v>161</v>
      </c>
      <c r="Q14" s="3">
        <v>45047</v>
      </c>
      <c r="R14" s="2">
        <f t="shared" si="0"/>
        <v>65</v>
      </c>
      <c r="S14" s="2">
        <v>2</v>
      </c>
      <c r="T14" s="2" t="s">
        <v>36</v>
      </c>
    </row>
    <row r="15" spans="1:20" ht="30" customHeight="1" x14ac:dyDescent="0.3">
      <c r="A15" s="140"/>
      <c r="B15" s="2">
        <v>13</v>
      </c>
      <c r="C15" s="2">
        <v>681120</v>
      </c>
      <c r="D15" s="2" t="s">
        <v>13</v>
      </c>
      <c r="E15" s="41" t="s">
        <v>162</v>
      </c>
      <c r="F15" s="135">
        <v>45129</v>
      </c>
      <c r="G15" s="45"/>
      <c r="H15" s="47" t="s">
        <v>194</v>
      </c>
      <c r="I15" s="6">
        <v>4000000</v>
      </c>
      <c r="J15" s="2" t="s">
        <v>35</v>
      </c>
      <c r="K15" s="21" t="s">
        <v>74</v>
      </c>
      <c r="L15" s="21" t="s">
        <v>426</v>
      </c>
      <c r="M15" s="2" t="s">
        <v>84</v>
      </c>
      <c r="N15" s="2" t="s">
        <v>14</v>
      </c>
      <c r="O15" s="2" t="s">
        <v>53</v>
      </c>
      <c r="P15" s="42" t="s">
        <v>163</v>
      </c>
      <c r="Q15" s="3">
        <v>45124</v>
      </c>
      <c r="R15" s="2">
        <f t="shared" si="0"/>
        <v>5</v>
      </c>
      <c r="S15" s="2">
        <v>4</v>
      </c>
      <c r="T15" s="2" t="s">
        <v>36</v>
      </c>
    </row>
    <row r="16" spans="1:20" ht="30" customHeight="1" x14ac:dyDescent="0.3">
      <c r="A16" s="140"/>
      <c r="B16" s="2">
        <v>14</v>
      </c>
      <c r="C16" s="2">
        <v>790820</v>
      </c>
      <c r="D16" s="2" t="s">
        <v>15</v>
      </c>
      <c r="E16" s="41" t="s">
        <v>164</v>
      </c>
      <c r="F16" s="135">
        <v>45131</v>
      </c>
      <c r="G16" s="45"/>
      <c r="H16" s="47" t="s">
        <v>194</v>
      </c>
      <c r="I16" s="6">
        <v>600000</v>
      </c>
      <c r="J16" s="2"/>
      <c r="K16" s="21" t="s">
        <v>75</v>
      </c>
      <c r="L16" s="21" t="s">
        <v>419</v>
      </c>
      <c r="M16" s="2" t="s">
        <v>84</v>
      </c>
      <c r="N16" s="2" t="s">
        <v>96</v>
      </c>
      <c r="O16" s="2" t="s">
        <v>54</v>
      </c>
      <c r="P16" s="42" t="s">
        <v>165</v>
      </c>
      <c r="Q16" s="3">
        <v>44179</v>
      </c>
      <c r="R16" s="2">
        <f t="shared" si="0"/>
        <v>952</v>
      </c>
      <c r="S16" s="2">
        <v>2</v>
      </c>
      <c r="T16" s="2" t="s">
        <v>55</v>
      </c>
    </row>
    <row r="17" spans="1:20" ht="30" customHeight="1" x14ac:dyDescent="0.3">
      <c r="A17" s="140"/>
      <c r="B17" s="2">
        <v>15</v>
      </c>
      <c r="C17" s="2">
        <v>630504</v>
      </c>
      <c r="D17" s="2" t="s">
        <v>16</v>
      </c>
      <c r="E17" s="41" t="s">
        <v>166</v>
      </c>
      <c r="F17" s="135">
        <v>45135</v>
      </c>
      <c r="G17" s="45"/>
      <c r="H17" s="47" t="s">
        <v>194</v>
      </c>
      <c r="I17" s="6">
        <v>1000000</v>
      </c>
      <c r="J17" s="2" t="s">
        <v>35</v>
      </c>
      <c r="K17" s="21" t="s">
        <v>76</v>
      </c>
      <c r="L17" s="21" t="s">
        <v>427</v>
      </c>
      <c r="M17" s="2" t="s">
        <v>88</v>
      </c>
      <c r="N17" s="2" t="s">
        <v>106</v>
      </c>
      <c r="O17" s="2" t="s">
        <v>56</v>
      </c>
      <c r="P17" s="42" t="s">
        <v>161</v>
      </c>
      <c r="Q17" s="3">
        <v>44795</v>
      </c>
      <c r="R17" s="2">
        <f t="shared" si="0"/>
        <v>340</v>
      </c>
      <c r="S17" s="2">
        <v>1</v>
      </c>
      <c r="T17" s="2" t="s">
        <v>36</v>
      </c>
    </row>
    <row r="18" spans="1:20" ht="81" customHeight="1" x14ac:dyDescent="0.3">
      <c r="A18" s="140"/>
      <c r="B18" s="2">
        <v>16</v>
      </c>
      <c r="C18" s="2">
        <v>900105</v>
      </c>
      <c r="D18" s="2" t="s">
        <v>17</v>
      </c>
      <c r="E18" s="41" t="s">
        <v>167</v>
      </c>
      <c r="F18" s="51">
        <v>45169</v>
      </c>
      <c r="G18" s="45" t="s">
        <v>35</v>
      </c>
      <c r="H18" s="47" t="s">
        <v>197</v>
      </c>
      <c r="I18" s="6">
        <v>17000000</v>
      </c>
      <c r="J18" s="2"/>
      <c r="K18" s="33" t="s">
        <v>199</v>
      </c>
      <c r="L18" s="33" t="s">
        <v>427</v>
      </c>
      <c r="M18" s="4" t="s">
        <v>85</v>
      </c>
      <c r="N18" s="31" t="s">
        <v>200</v>
      </c>
      <c r="O18" s="2" t="s">
        <v>57</v>
      </c>
      <c r="P18" s="42" t="s">
        <v>157</v>
      </c>
      <c r="Q18" s="3">
        <v>45077</v>
      </c>
      <c r="R18" s="2">
        <f t="shared" si="0"/>
        <v>92</v>
      </c>
      <c r="S18" s="2">
        <v>4</v>
      </c>
      <c r="T18" s="2" t="s">
        <v>36</v>
      </c>
    </row>
    <row r="19" spans="1:20" ht="87.75" customHeight="1" x14ac:dyDescent="0.3">
      <c r="A19" s="140"/>
      <c r="B19" s="2">
        <v>17</v>
      </c>
      <c r="C19" s="2">
        <v>590915</v>
      </c>
      <c r="D19" s="2" t="s">
        <v>20</v>
      </c>
      <c r="E19" s="41" t="s">
        <v>168</v>
      </c>
      <c r="F19" s="3">
        <v>45177</v>
      </c>
      <c r="G19" s="45"/>
      <c r="H19" s="47" t="s">
        <v>341</v>
      </c>
      <c r="I19" s="6">
        <v>0</v>
      </c>
      <c r="J19" s="2" t="s">
        <v>35</v>
      </c>
      <c r="K19" s="21" t="s">
        <v>169</v>
      </c>
      <c r="L19" s="21" t="s">
        <v>389</v>
      </c>
      <c r="M19" s="2" t="s">
        <v>88</v>
      </c>
      <c r="N19" s="2" t="s">
        <v>107</v>
      </c>
      <c r="O19" s="2" t="s">
        <v>58</v>
      </c>
      <c r="P19" s="42" t="s">
        <v>161</v>
      </c>
      <c r="Q19" s="3">
        <v>45147</v>
      </c>
      <c r="R19" s="2">
        <f t="shared" si="0"/>
        <v>30</v>
      </c>
      <c r="S19" s="2">
        <v>2</v>
      </c>
      <c r="T19" s="2" t="s">
        <v>36</v>
      </c>
    </row>
    <row r="20" spans="1:20" ht="87.75" customHeight="1" x14ac:dyDescent="0.3">
      <c r="A20" s="140"/>
      <c r="B20" s="2">
        <v>18</v>
      </c>
      <c r="C20" s="2">
        <v>660211</v>
      </c>
      <c r="D20" s="2" t="s">
        <v>19</v>
      </c>
      <c r="E20" s="41" t="s">
        <v>170</v>
      </c>
      <c r="F20" s="3">
        <v>45188</v>
      </c>
      <c r="G20" s="45"/>
      <c r="H20" s="47" t="s">
        <v>342</v>
      </c>
      <c r="I20" s="6">
        <v>1851000</v>
      </c>
      <c r="J20" s="2" t="s">
        <v>35</v>
      </c>
      <c r="K20" s="21" t="s">
        <v>77</v>
      </c>
      <c r="L20" s="21" t="s">
        <v>426</v>
      </c>
      <c r="M20" s="2" t="s">
        <v>88</v>
      </c>
      <c r="N20" s="2" t="s">
        <v>108</v>
      </c>
      <c r="O20" s="2" t="s">
        <v>59</v>
      </c>
      <c r="P20" s="42" t="s">
        <v>171</v>
      </c>
      <c r="Q20" s="3">
        <v>45187</v>
      </c>
      <c r="R20" s="2">
        <f t="shared" si="0"/>
        <v>1</v>
      </c>
      <c r="S20" s="2">
        <v>1</v>
      </c>
      <c r="T20" s="2" t="s">
        <v>60</v>
      </c>
    </row>
    <row r="21" spans="1:20" ht="81" customHeight="1" x14ac:dyDescent="0.3">
      <c r="A21" s="140"/>
      <c r="B21" s="2">
        <v>19</v>
      </c>
      <c r="C21" s="2">
        <v>941121</v>
      </c>
      <c r="D21" s="2" t="s">
        <v>18</v>
      </c>
      <c r="E21" s="41" t="s">
        <v>172</v>
      </c>
      <c r="F21" s="3">
        <v>45190</v>
      </c>
      <c r="G21" s="45"/>
      <c r="H21" s="47" t="s">
        <v>197</v>
      </c>
      <c r="I21" s="6">
        <v>3000000</v>
      </c>
      <c r="J21" s="2"/>
      <c r="K21" s="32" t="s">
        <v>203</v>
      </c>
      <c r="L21" s="32" t="s">
        <v>419</v>
      </c>
      <c r="M21" s="2" t="s">
        <v>84</v>
      </c>
      <c r="N21" s="31" t="s">
        <v>201</v>
      </c>
      <c r="O21" s="2" t="s">
        <v>61</v>
      </c>
      <c r="P21" s="42" t="s">
        <v>155</v>
      </c>
      <c r="Q21" s="3">
        <v>44776</v>
      </c>
      <c r="R21" s="2">
        <f t="shared" si="0"/>
        <v>414</v>
      </c>
      <c r="S21" s="2">
        <v>4</v>
      </c>
      <c r="T21" s="2" t="s">
        <v>196</v>
      </c>
    </row>
    <row r="22" spans="1:20" ht="87.75" customHeight="1" x14ac:dyDescent="0.3">
      <c r="A22" s="140"/>
      <c r="B22" s="2">
        <v>20</v>
      </c>
      <c r="C22" s="2">
        <v>930612</v>
      </c>
      <c r="D22" s="2" t="s">
        <v>21</v>
      </c>
      <c r="E22" s="41" t="s">
        <v>173</v>
      </c>
      <c r="F22" s="3">
        <v>45195</v>
      </c>
      <c r="G22" s="45"/>
      <c r="H22" s="47" t="s">
        <v>194</v>
      </c>
      <c r="I22" s="6">
        <v>2800000</v>
      </c>
      <c r="J22" s="2"/>
      <c r="K22" s="21" t="s">
        <v>174</v>
      </c>
      <c r="L22" s="21" t="s">
        <v>428</v>
      </c>
      <c r="M22" s="2" t="s">
        <v>84</v>
      </c>
      <c r="N22" s="2" t="s">
        <v>108</v>
      </c>
      <c r="O22" s="2" t="s">
        <v>59</v>
      </c>
      <c r="P22" s="42" t="s">
        <v>142</v>
      </c>
      <c r="Q22" s="3">
        <v>44888</v>
      </c>
      <c r="R22" s="2">
        <f t="shared" si="0"/>
        <v>307</v>
      </c>
      <c r="S22" s="2">
        <v>1</v>
      </c>
      <c r="T22" s="2" t="s">
        <v>44</v>
      </c>
    </row>
    <row r="23" spans="1:20" ht="87.75" customHeight="1" x14ac:dyDescent="0.3">
      <c r="A23" s="140"/>
      <c r="B23" s="2">
        <v>21</v>
      </c>
      <c r="C23" s="2">
        <v>820621</v>
      </c>
      <c r="D23" s="2" t="s">
        <v>66</v>
      </c>
      <c r="E23" s="41" t="s">
        <v>175</v>
      </c>
      <c r="F23" s="3">
        <v>45222</v>
      </c>
      <c r="G23" s="54"/>
      <c r="H23" s="47" t="s">
        <v>281</v>
      </c>
      <c r="I23" s="6">
        <v>6595000</v>
      </c>
      <c r="J23" s="2" t="s">
        <v>35</v>
      </c>
      <c r="K23" s="21" t="s">
        <v>78</v>
      </c>
      <c r="L23" s="21" t="s">
        <v>419</v>
      </c>
      <c r="M23" s="2" t="s">
        <v>84</v>
      </c>
      <c r="N23" s="2" t="s">
        <v>25</v>
      </c>
      <c r="O23" s="2" t="s">
        <v>63</v>
      </c>
      <c r="P23" s="42" t="s">
        <v>176</v>
      </c>
      <c r="Q23" s="3">
        <v>45187</v>
      </c>
      <c r="R23" s="2">
        <f t="shared" si="0"/>
        <v>35</v>
      </c>
      <c r="S23" s="2">
        <v>4</v>
      </c>
      <c r="T23" s="2" t="s">
        <v>36</v>
      </c>
    </row>
    <row r="24" spans="1:20" ht="87.75" customHeight="1" x14ac:dyDescent="0.3">
      <c r="A24" s="140"/>
      <c r="B24" s="2">
        <v>22</v>
      </c>
      <c r="C24" s="2">
        <v>850403</v>
      </c>
      <c r="D24" s="2" t="s">
        <v>22</v>
      </c>
      <c r="E24" s="41" t="s">
        <v>177</v>
      </c>
      <c r="F24" s="3">
        <v>45239</v>
      </c>
      <c r="G24" s="45"/>
      <c r="H24" s="47" t="s">
        <v>194</v>
      </c>
      <c r="I24" s="6">
        <v>1042820</v>
      </c>
      <c r="J24" s="2" t="s">
        <v>35</v>
      </c>
      <c r="K24" s="21" t="s">
        <v>80</v>
      </c>
      <c r="L24" s="21" t="s">
        <v>429</v>
      </c>
      <c r="M24" s="2" t="s">
        <v>88</v>
      </c>
      <c r="N24" s="2" t="s">
        <v>109</v>
      </c>
      <c r="O24" s="2" t="s">
        <v>62</v>
      </c>
      <c r="P24" s="42" t="s">
        <v>178</v>
      </c>
      <c r="Q24" s="3">
        <v>45226</v>
      </c>
      <c r="R24" s="2">
        <f t="shared" si="0"/>
        <v>13</v>
      </c>
      <c r="S24" s="2">
        <v>3</v>
      </c>
      <c r="T24" s="2" t="s">
        <v>36</v>
      </c>
    </row>
    <row r="25" spans="1:20" ht="87.75" customHeight="1" x14ac:dyDescent="0.3">
      <c r="A25" s="140"/>
      <c r="B25" s="2">
        <v>23</v>
      </c>
      <c r="C25" s="2">
        <v>700117</v>
      </c>
      <c r="D25" s="2" t="s">
        <v>23</v>
      </c>
      <c r="E25" s="41" t="s">
        <v>179</v>
      </c>
      <c r="F25" s="3">
        <v>45254</v>
      </c>
      <c r="G25" s="45"/>
      <c r="H25" s="47" t="s">
        <v>194</v>
      </c>
      <c r="I25" s="6">
        <v>0</v>
      </c>
      <c r="J25" s="2"/>
      <c r="K25" s="21" t="s">
        <v>520</v>
      </c>
      <c r="L25" s="21" t="s">
        <v>389</v>
      </c>
      <c r="M25" s="2" t="s">
        <v>88</v>
      </c>
      <c r="N25" s="2" t="s">
        <v>25</v>
      </c>
      <c r="O25" s="2" t="s">
        <v>63</v>
      </c>
      <c r="P25" s="42" t="s">
        <v>180</v>
      </c>
      <c r="Q25" s="3">
        <v>45103</v>
      </c>
      <c r="R25" s="2">
        <f t="shared" si="0"/>
        <v>151</v>
      </c>
      <c r="S25" s="2">
        <v>4</v>
      </c>
      <c r="T25" s="2" t="s">
        <v>36</v>
      </c>
    </row>
    <row r="26" spans="1:20" ht="81" customHeight="1" x14ac:dyDescent="0.3">
      <c r="A26" s="140"/>
      <c r="B26" s="2">
        <v>24</v>
      </c>
      <c r="C26" s="2">
        <v>620609</v>
      </c>
      <c r="D26" s="2" t="s">
        <v>24</v>
      </c>
      <c r="E26" s="41" t="s">
        <v>181</v>
      </c>
      <c r="F26" s="52">
        <v>45259</v>
      </c>
      <c r="G26" s="54" t="s">
        <v>35</v>
      </c>
      <c r="H26" s="47" t="s">
        <v>197</v>
      </c>
      <c r="I26" s="6">
        <v>0</v>
      </c>
      <c r="J26" s="2" t="s">
        <v>35</v>
      </c>
      <c r="K26" s="21" t="s">
        <v>89</v>
      </c>
      <c r="L26" s="21" t="s">
        <v>389</v>
      </c>
      <c r="M26" s="2" t="s">
        <v>88</v>
      </c>
      <c r="N26" s="31" t="s">
        <v>202</v>
      </c>
      <c r="O26" s="2" t="s">
        <v>52</v>
      </c>
      <c r="P26" s="42" t="s">
        <v>182</v>
      </c>
      <c r="Q26" s="3">
        <v>45124</v>
      </c>
      <c r="R26" s="2">
        <f t="shared" si="0"/>
        <v>135</v>
      </c>
      <c r="S26" s="2">
        <v>2</v>
      </c>
      <c r="T26" s="2" t="s">
        <v>36</v>
      </c>
    </row>
    <row r="27" spans="1:20" ht="87.75" customHeight="1" x14ac:dyDescent="0.3">
      <c r="A27" s="140"/>
      <c r="B27" s="2">
        <v>25</v>
      </c>
      <c r="C27" s="15">
        <v>650424</v>
      </c>
      <c r="D27" s="15" t="s">
        <v>29</v>
      </c>
      <c r="E27" s="41" t="s">
        <v>183</v>
      </c>
      <c r="F27" s="17">
        <v>45265</v>
      </c>
      <c r="G27" s="55"/>
      <c r="H27" s="48" t="s">
        <v>194</v>
      </c>
      <c r="I27" s="27">
        <v>3800000</v>
      </c>
      <c r="J27" s="15" t="s">
        <v>35</v>
      </c>
      <c r="K27" s="22" t="s">
        <v>81</v>
      </c>
      <c r="L27" s="22" t="s">
        <v>430</v>
      </c>
      <c r="M27" s="15" t="s">
        <v>88</v>
      </c>
      <c r="N27" s="15" t="s">
        <v>110</v>
      </c>
      <c r="O27" s="15" t="s">
        <v>65</v>
      </c>
      <c r="P27" s="43" t="s">
        <v>184</v>
      </c>
      <c r="Q27" s="17">
        <v>43637</v>
      </c>
      <c r="R27" s="15">
        <f t="shared" si="0"/>
        <v>1628</v>
      </c>
      <c r="S27" s="15">
        <v>4</v>
      </c>
      <c r="T27" s="15" t="s">
        <v>36</v>
      </c>
    </row>
    <row r="28" spans="1:20" ht="87.75" customHeight="1" x14ac:dyDescent="0.3">
      <c r="A28" s="140"/>
      <c r="B28" s="2">
        <v>26</v>
      </c>
      <c r="C28" s="15">
        <v>681018</v>
      </c>
      <c r="D28" s="15" t="s">
        <v>116</v>
      </c>
      <c r="E28" s="41" t="s">
        <v>185</v>
      </c>
      <c r="F28" s="53">
        <v>45272</v>
      </c>
      <c r="G28" s="55" t="s">
        <v>35</v>
      </c>
      <c r="H28" s="47" t="s">
        <v>194</v>
      </c>
      <c r="I28" s="27">
        <v>0</v>
      </c>
      <c r="J28" s="15"/>
      <c r="K28" s="22" t="s">
        <v>118</v>
      </c>
      <c r="L28" s="22" t="s">
        <v>419</v>
      </c>
      <c r="M28" s="15" t="s">
        <v>85</v>
      </c>
      <c r="N28" s="15" t="s">
        <v>117</v>
      </c>
      <c r="O28" s="15" t="s">
        <v>46</v>
      </c>
      <c r="P28" s="43" t="s">
        <v>145</v>
      </c>
      <c r="Q28" s="17">
        <v>44470</v>
      </c>
      <c r="R28" s="15">
        <f t="shared" si="0"/>
        <v>802</v>
      </c>
      <c r="S28" s="15" t="s">
        <v>95</v>
      </c>
      <c r="T28" s="15" t="s">
        <v>36</v>
      </c>
    </row>
    <row r="29" spans="1:20" ht="87.75" customHeight="1" x14ac:dyDescent="0.3">
      <c r="A29" s="140"/>
      <c r="B29" s="2">
        <v>27</v>
      </c>
      <c r="C29" s="15">
        <v>741122</v>
      </c>
      <c r="D29" s="15" t="s">
        <v>120</v>
      </c>
      <c r="E29" s="41" t="s">
        <v>186</v>
      </c>
      <c r="F29" s="3">
        <v>45644</v>
      </c>
      <c r="G29" s="55"/>
      <c r="H29" s="48" t="s">
        <v>194</v>
      </c>
      <c r="I29" s="27">
        <v>3466490</v>
      </c>
      <c r="J29" s="15"/>
      <c r="K29" s="22" t="s">
        <v>123</v>
      </c>
      <c r="L29" s="22" t="s">
        <v>431</v>
      </c>
      <c r="M29" s="15" t="s">
        <v>84</v>
      </c>
      <c r="N29" s="15" t="s">
        <v>121</v>
      </c>
      <c r="O29" s="15" t="s">
        <v>122</v>
      </c>
      <c r="P29" s="43" t="s">
        <v>165</v>
      </c>
      <c r="Q29" s="17">
        <v>42779</v>
      </c>
      <c r="R29" s="15">
        <f t="shared" si="0"/>
        <v>2865</v>
      </c>
      <c r="S29" s="15">
        <v>1</v>
      </c>
      <c r="T29" s="15" t="s">
        <v>36</v>
      </c>
    </row>
    <row r="30" spans="1:20" ht="87.75" customHeight="1" thickBot="1" x14ac:dyDescent="0.35">
      <c r="A30" s="140"/>
      <c r="B30" s="15">
        <v>28</v>
      </c>
      <c r="C30" s="15">
        <v>711205</v>
      </c>
      <c r="D30" s="15" t="s">
        <v>136</v>
      </c>
      <c r="E30" s="137" t="s">
        <v>190</v>
      </c>
      <c r="F30" s="138">
        <v>45652</v>
      </c>
      <c r="G30" s="55"/>
      <c r="H30" s="48" t="s">
        <v>194</v>
      </c>
      <c r="I30" s="27">
        <v>1000000</v>
      </c>
      <c r="J30" s="15"/>
      <c r="K30" s="35" t="s">
        <v>192</v>
      </c>
      <c r="L30" s="35" t="s">
        <v>432</v>
      </c>
      <c r="M30" s="15" t="s">
        <v>84</v>
      </c>
      <c r="N30" s="15" t="s">
        <v>188</v>
      </c>
      <c r="O30" s="15" t="s">
        <v>189</v>
      </c>
      <c r="P30" s="43" t="s">
        <v>191</v>
      </c>
      <c r="Q30" s="17">
        <v>44797</v>
      </c>
      <c r="R30" s="15">
        <f t="shared" si="0"/>
        <v>855</v>
      </c>
      <c r="S30" s="15">
        <v>1</v>
      </c>
      <c r="T30" s="15" t="s">
        <v>36</v>
      </c>
    </row>
  </sheetData>
  <autoFilter ref="B2:T30" xr:uid="{9AA876BA-3CBA-4E81-9DD2-3E6F55F3D1E2}">
    <filterColumn colId="3">
      <colorFilter dxfId="40"/>
    </filterColumn>
    <sortState xmlns:xlrd2="http://schemas.microsoft.com/office/spreadsheetml/2017/richdata2" ref="B3:T30">
      <sortCondition ref="F2:F30"/>
    </sortState>
  </autoFilter>
  <mergeCells count="1">
    <mergeCell ref="A3:A30"/>
  </mergeCells>
  <phoneticPr fontId="1" type="noConversion"/>
  <conditionalFormatting sqref="C3:C30">
    <cfRule type="cellIs" dxfId="39" priority="3" operator="lessThan">
      <formula>641231</formula>
    </cfRule>
  </conditionalFormatting>
  <conditionalFormatting sqref="J3:J30">
    <cfRule type="containsText" dxfId="38" priority="1" operator="containsText" text="O">
      <formula>NOT(ISERROR(SEARCH("O",J3)))</formula>
    </cfRule>
  </conditionalFormatting>
  <conditionalFormatting sqref="R3:R30">
    <cfRule type="cellIs" dxfId="37" priority="2" operator="between">
      <formula>0</formula>
      <formula>64</formula>
    </cfRule>
  </conditionalFormatting>
  <pageMargins left="0.27559055118110237" right="0.19685039370078741" top="0.82677165354330717" bottom="0.15748031496062992" header="0.19685039370078741" footer="0.11811023622047245"/>
  <pageSetup paperSize="9" scale="67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D399-861E-473F-AE36-FF0C16E80147}">
  <sheetPr>
    <tabColor rgb="FFFFC000"/>
    <pageSetUpPr fitToPage="1"/>
  </sheetPr>
  <dimension ref="A1:X60"/>
  <sheetViews>
    <sheetView showGridLines="0" zoomScale="70" zoomScaleNormal="70" workbookViewId="0">
      <pane ySplit="2" topLeftCell="A15" activePane="bottomLeft" state="frozen"/>
      <selection pane="bottomLeft" activeCell="J16" sqref="J16"/>
    </sheetView>
  </sheetViews>
  <sheetFormatPr defaultRowHeight="16.5" x14ac:dyDescent="0.3"/>
  <cols>
    <col min="1" max="1" width="5.125" customWidth="1"/>
    <col min="2" max="2" width="11.75" customWidth="1"/>
    <col min="5" max="5" width="9.25" customWidth="1"/>
    <col min="6" max="6" width="5.375" customWidth="1"/>
    <col min="7" max="7" width="6.375" customWidth="1"/>
    <col min="9" max="9" width="15.25" style="14" customWidth="1"/>
    <col min="10" max="10" width="10.875" style="1" customWidth="1"/>
    <col min="11" max="11" width="7" style="1" customWidth="1"/>
    <col min="12" max="12" width="45.25" customWidth="1"/>
    <col min="13" max="13" width="20.25" bestFit="1" customWidth="1"/>
    <col min="14" max="14" width="29.75" customWidth="1"/>
    <col min="15" max="15" width="17.875" bestFit="1" customWidth="1"/>
    <col min="16" max="16" width="13" bestFit="1" customWidth="1"/>
    <col min="17" max="17" width="11" customWidth="1"/>
    <col min="18" max="18" width="8.375" customWidth="1"/>
    <col min="19" max="19" width="5.25" customWidth="1"/>
    <col min="20" max="20" width="10.125" customWidth="1"/>
    <col min="21" max="21" width="11.875" customWidth="1"/>
    <col min="22" max="22" width="8" style="14" customWidth="1"/>
    <col min="23" max="23" width="7.125" style="1" customWidth="1"/>
    <col min="24" max="24" width="9" style="1"/>
  </cols>
  <sheetData>
    <row r="1" spans="1:24" ht="25.5" customHeight="1" x14ac:dyDescent="0.3">
      <c r="A1" s="50" t="s">
        <v>303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130" t="s">
        <v>513</v>
      </c>
      <c r="N1" s="141">
        <f ca="1">TODAY()</f>
        <v>46078</v>
      </c>
      <c r="O1" s="141"/>
      <c r="P1" s="50"/>
      <c r="Q1" s="50"/>
      <c r="R1" s="50"/>
      <c r="S1" s="50"/>
      <c r="T1" s="50"/>
      <c r="U1" s="50"/>
      <c r="V1" s="50"/>
      <c r="W1" s="50"/>
    </row>
    <row r="2" spans="1:24" s="1" customFormat="1" ht="30" customHeight="1" x14ac:dyDescent="0.3">
      <c r="A2" s="11" t="s">
        <v>26</v>
      </c>
      <c r="B2" s="11" t="s">
        <v>514</v>
      </c>
      <c r="C2" s="11" t="s">
        <v>27</v>
      </c>
      <c r="D2" s="11" t="s">
        <v>511</v>
      </c>
      <c r="E2" s="12" t="s">
        <v>30</v>
      </c>
      <c r="F2" s="12" t="s">
        <v>512</v>
      </c>
      <c r="G2" s="12" t="s">
        <v>281</v>
      </c>
      <c r="H2" s="11" t="s">
        <v>210</v>
      </c>
      <c r="I2" s="11" t="s">
        <v>301</v>
      </c>
      <c r="J2" s="12" t="s">
        <v>111</v>
      </c>
      <c r="K2" s="12" t="s">
        <v>119</v>
      </c>
      <c r="L2" s="11" t="s">
        <v>126</v>
      </c>
      <c r="M2" s="11" t="s">
        <v>418</v>
      </c>
      <c r="N2" s="11" t="s">
        <v>207</v>
      </c>
      <c r="O2" s="11" t="s">
        <v>28</v>
      </c>
      <c r="P2" s="11" t="s">
        <v>31</v>
      </c>
      <c r="Q2" s="11" t="s">
        <v>33</v>
      </c>
      <c r="R2" s="12" t="s">
        <v>38</v>
      </c>
      <c r="S2" s="12" t="s">
        <v>94</v>
      </c>
      <c r="T2" s="12" t="s">
        <v>249</v>
      </c>
      <c r="U2" s="11" t="s">
        <v>125</v>
      </c>
      <c r="V2" s="11" t="s">
        <v>83</v>
      </c>
      <c r="W2" s="11" t="s">
        <v>37</v>
      </c>
    </row>
    <row r="3" spans="1:24" ht="115.5" x14ac:dyDescent="0.3">
      <c r="A3" s="2">
        <v>1</v>
      </c>
      <c r="B3" s="9">
        <v>24068</v>
      </c>
      <c r="C3" s="2" t="s">
        <v>127</v>
      </c>
      <c r="D3" s="7">
        <f t="shared" ref="D3:D26" ca="1" si="0">IF(B3="x","x",(YEAR($N$1)-YEAR(B3)-(TEXT($N$1,"MMDD")&lt;TEXT(B3,"MMDD"))))</f>
        <v>60</v>
      </c>
      <c r="E3" s="5">
        <v>45297</v>
      </c>
      <c r="F3" s="8" t="str">
        <f t="shared" ref="F3:F26" si="1">IF(E3="","",(CHOOSE(WEEKDAY(E3),"일","월","화","수","목","금","토")))</f>
        <v>토</v>
      </c>
      <c r="G3" s="2" t="s">
        <v>35</v>
      </c>
      <c r="H3" s="31" t="s">
        <v>35</v>
      </c>
      <c r="I3" s="31" t="s">
        <v>374</v>
      </c>
      <c r="J3" s="133">
        <v>0</v>
      </c>
      <c r="K3" s="2"/>
      <c r="L3" s="32" t="s">
        <v>217</v>
      </c>
      <c r="M3" s="60" t="s">
        <v>419</v>
      </c>
      <c r="N3" s="32" t="s">
        <v>218</v>
      </c>
      <c r="O3" s="2" t="s">
        <v>128</v>
      </c>
      <c r="P3" s="2" t="s">
        <v>129</v>
      </c>
      <c r="Q3" s="3">
        <v>44410</v>
      </c>
      <c r="R3" s="15">
        <f t="shared" ref="R3:R26" si="2">IF(Q3="-","-",(IF((E3-Q3)=0,"",(E3-Q3))))</f>
        <v>887</v>
      </c>
      <c r="S3" s="2">
        <v>2</v>
      </c>
      <c r="T3" s="4">
        <v>45299</v>
      </c>
      <c r="U3" s="31" t="s">
        <v>130</v>
      </c>
      <c r="V3" s="2" t="s">
        <v>84</v>
      </c>
      <c r="W3" s="2" t="s">
        <v>36</v>
      </c>
    </row>
    <row r="4" spans="1:24" ht="143.25" customHeight="1" x14ac:dyDescent="0.3">
      <c r="A4" s="7">
        <v>2</v>
      </c>
      <c r="B4" s="9">
        <v>25530</v>
      </c>
      <c r="C4" s="2" t="s">
        <v>135</v>
      </c>
      <c r="D4" s="7">
        <f t="shared" ca="1" si="0"/>
        <v>56</v>
      </c>
      <c r="E4" s="5">
        <v>45324</v>
      </c>
      <c r="F4" s="8" t="str">
        <f t="shared" si="1"/>
        <v>금</v>
      </c>
      <c r="G4" s="2" t="s">
        <v>35</v>
      </c>
      <c r="H4" s="31" t="s">
        <v>35</v>
      </c>
      <c r="I4" s="31"/>
      <c r="J4" s="133">
        <v>0</v>
      </c>
      <c r="K4" s="2"/>
      <c r="L4" s="32" t="s">
        <v>213</v>
      </c>
      <c r="M4" s="32" t="s">
        <v>420</v>
      </c>
      <c r="N4" s="32" t="s">
        <v>209</v>
      </c>
      <c r="O4" s="2" t="s">
        <v>117</v>
      </c>
      <c r="P4" s="2" t="s">
        <v>46</v>
      </c>
      <c r="Q4" s="3">
        <v>45231</v>
      </c>
      <c r="R4" s="15">
        <f t="shared" si="2"/>
        <v>93</v>
      </c>
      <c r="S4" s="2" t="s">
        <v>95</v>
      </c>
      <c r="T4" s="4">
        <v>45324</v>
      </c>
      <c r="U4" s="56" t="s">
        <v>211</v>
      </c>
      <c r="V4" s="2" t="s">
        <v>85</v>
      </c>
      <c r="W4" s="2" t="s">
        <v>36</v>
      </c>
    </row>
    <row r="5" spans="1:24" ht="145.5" customHeight="1" x14ac:dyDescent="0.3">
      <c r="A5" s="2">
        <v>3</v>
      </c>
      <c r="B5" s="9">
        <v>34184</v>
      </c>
      <c r="C5" s="2" t="s">
        <v>204</v>
      </c>
      <c r="D5" s="7">
        <f t="shared" ca="1" si="0"/>
        <v>32</v>
      </c>
      <c r="E5" s="5">
        <v>45341</v>
      </c>
      <c r="F5" s="8" t="str">
        <f t="shared" si="1"/>
        <v>월</v>
      </c>
      <c r="G5" s="2" t="s">
        <v>35</v>
      </c>
      <c r="H5" s="31" t="s">
        <v>35</v>
      </c>
      <c r="I5" s="31"/>
      <c r="J5" s="133">
        <v>400000</v>
      </c>
      <c r="K5" s="2"/>
      <c r="L5" s="32" t="s">
        <v>214</v>
      </c>
      <c r="M5" s="32" t="s">
        <v>432</v>
      </c>
      <c r="N5" s="59" t="s">
        <v>208</v>
      </c>
      <c r="O5" s="2" t="s">
        <v>205</v>
      </c>
      <c r="P5" s="2" t="s">
        <v>206</v>
      </c>
      <c r="Q5" s="3">
        <v>45244</v>
      </c>
      <c r="R5" s="15">
        <f t="shared" si="2"/>
        <v>97</v>
      </c>
      <c r="S5" s="2">
        <v>1</v>
      </c>
      <c r="T5" s="4">
        <v>45341</v>
      </c>
      <c r="U5" s="56" t="s">
        <v>261</v>
      </c>
      <c r="V5" s="2" t="s">
        <v>84</v>
      </c>
      <c r="W5" s="2" t="s">
        <v>36</v>
      </c>
    </row>
    <row r="6" spans="1:24" ht="77.25" customHeight="1" x14ac:dyDescent="0.3">
      <c r="A6" s="7">
        <v>4</v>
      </c>
      <c r="B6" s="9">
        <v>28418</v>
      </c>
      <c r="C6" s="2" t="s">
        <v>228</v>
      </c>
      <c r="D6" s="7">
        <f t="shared" ca="1" si="0"/>
        <v>48</v>
      </c>
      <c r="E6" s="135">
        <v>45350</v>
      </c>
      <c r="F6" s="136" t="str">
        <f t="shared" si="1"/>
        <v>수</v>
      </c>
      <c r="G6" s="2" t="s">
        <v>35</v>
      </c>
      <c r="H6" s="31" t="s">
        <v>229</v>
      </c>
      <c r="I6" s="31"/>
      <c r="J6" s="133">
        <v>0</v>
      </c>
      <c r="K6" s="2"/>
      <c r="L6" s="32" t="s">
        <v>232</v>
      </c>
      <c r="M6" s="32" t="s">
        <v>420</v>
      </c>
      <c r="N6" s="32" t="s">
        <v>433</v>
      </c>
      <c r="O6" s="31" t="s">
        <v>231</v>
      </c>
      <c r="P6" s="2" t="s">
        <v>230</v>
      </c>
      <c r="Q6" s="3">
        <v>44928</v>
      </c>
      <c r="R6" s="15">
        <f t="shared" si="2"/>
        <v>422</v>
      </c>
      <c r="S6" s="2">
        <v>1</v>
      </c>
      <c r="T6" s="4">
        <v>45350</v>
      </c>
      <c r="U6" s="31" t="s">
        <v>262</v>
      </c>
      <c r="V6" s="2" t="s">
        <v>85</v>
      </c>
      <c r="W6" s="2" t="s">
        <v>36</v>
      </c>
    </row>
    <row r="7" spans="1:24" ht="75" customHeight="1" x14ac:dyDescent="0.3">
      <c r="A7" s="2">
        <v>5</v>
      </c>
      <c r="B7" s="9">
        <v>34076</v>
      </c>
      <c r="C7" s="2" t="s">
        <v>223</v>
      </c>
      <c r="D7" s="7">
        <f t="shared" ca="1" si="0"/>
        <v>32</v>
      </c>
      <c r="E7" s="5">
        <v>45373</v>
      </c>
      <c r="F7" s="8" t="str">
        <f t="shared" si="1"/>
        <v>금</v>
      </c>
      <c r="G7" s="2" t="s">
        <v>35</v>
      </c>
      <c r="H7" s="31" t="s">
        <v>359</v>
      </c>
      <c r="I7" s="31"/>
      <c r="J7" s="133">
        <v>0</v>
      </c>
      <c r="K7" s="2"/>
      <c r="L7" s="32" t="s">
        <v>224</v>
      </c>
      <c r="M7" s="32" t="s">
        <v>389</v>
      </c>
      <c r="N7" s="32" t="s">
        <v>225</v>
      </c>
      <c r="O7" s="2" t="s">
        <v>226</v>
      </c>
      <c r="P7" s="2" t="s">
        <v>227</v>
      </c>
      <c r="Q7" s="3">
        <v>45370</v>
      </c>
      <c r="R7" s="15">
        <f t="shared" si="2"/>
        <v>3</v>
      </c>
      <c r="S7" s="2">
        <v>4</v>
      </c>
      <c r="T7" s="4">
        <v>45383</v>
      </c>
      <c r="U7" s="31" t="s">
        <v>259</v>
      </c>
      <c r="V7" s="2" t="s">
        <v>365</v>
      </c>
      <c r="W7" s="2" t="s">
        <v>36</v>
      </c>
    </row>
    <row r="8" spans="1:24" ht="50.25" customHeight="1" x14ac:dyDescent="0.3">
      <c r="A8" s="7">
        <v>6</v>
      </c>
      <c r="B8" s="131">
        <v>32905</v>
      </c>
      <c r="C8" s="2" t="s">
        <v>294</v>
      </c>
      <c r="D8" s="7">
        <f t="shared" ca="1" si="0"/>
        <v>36</v>
      </c>
      <c r="E8" s="5">
        <v>45397</v>
      </c>
      <c r="F8" s="8" t="str">
        <f t="shared" si="1"/>
        <v>월</v>
      </c>
      <c r="G8" s="2" t="s">
        <v>35</v>
      </c>
      <c r="H8" s="31" t="s">
        <v>132</v>
      </c>
      <c r="I8" s="31"/>
      <c r="J8" s="133"/>
      <c r="K8" s="2"/>
      <c r="L8" s="32" t="s">
        <v>295</v>
      </c>
      <c r="M8" s="32" t="s">
        <v>434</v>
      </c>
      <c r="N8" s="32" t="s">
        <v>296</v>
      </c>
      <c r="O8" s="2" t="s">
        <v>297</v>
      </c>
      <c r="P8" s="2" t="s">
        <v>298</v>
      </c>
      <c r="Q8" s="3">
        <v>45223</v>
      </c>
      <c r="R8" s="15">
        <f t="shared" si="2"/>
        <v>174</v>
      </c>
      <c r="S8" s="2">
        <v>4</v>
      </c>
      <c r="T8" s="4">
        <v>45397</v>
      </c>
      <c r="U8" s="31" t="s">
        <v>262</v>
      </c>
      <c r="V8" s="2" t="s">
        <v>299</v>
      </c>
      <c r="W8" s="2" t="s">
        <v>300</v>
      </c>
    </row>
    <row r="9" spans="1:24" ht="75.75" customHeight="1" x14ac:dyDescent="0.3">
      <c r="A9" s="2">
        <v>7</v>
      </c>
      <c r="B9" s="9">
        <v>24900</v>
      </c>
      <c r="C9" s="2" t="s">
        <v>219</v>
      </c>
      <c r="D9" s="7">
        <f t="shared" ca="1" si="0"/>
        <v>57</v>
      </c>
      <c r="E9" s="5">
        <v>45405</v>
      </c>
      <c r="F9" s="8" t="str">
        <f t="shared" si="1"/>
        <v>화</v>
      </c>
      <c r="G9" s="2" t="s">
        <v>35</v>
      </c>
      <c r="H9" s="31" t="s">
        <v>35</v>
      </c>
      <c r="I9" s="31" t="s">
        <v>375</v>
      </c>
      <c r="J9" s="133">
        <v>0</v>
      </c>
      <c r="K9" s="2"/>
      <c r="L9" s="32" t="s">
        <v>221</v>
      </c>
      <c r="M9" s="32" t="s">
        <v>432</v>
      </c>
      <c r="N9" s="32" t="s">
        <v>222</v>
      </c>
      <c r="O9" s="2" t="s">
        <v>220</v>
      </c>
      <c r="P9" s="2" t="s">
        <v>54</v>
      </c>
      <c r="Q9" s="3">
        <v>45231</v>
      </c>
      <c r="R9" s="15">
        <f t="shared" si="2"/>
        <v>174</v>
      </c>
      <c r="S9" s="2">
        <v>2</v>
      </c>
      <c r="T9" s="4">
        <v>45405</v>
      </c>
      <c r="U9" s="31" t="s">
        <v>260</v>
      </c>
      <c r="V9" s="2" t="s">
        <v>84</v>
      </c>
      <c r="W9" s="2" t="s">
        <v>36</v>
      </c>
    </row>
    <row r="10" spans="1:24" ht="78.75" customHeight="1" x14ac:dyDescent="0.3">
      <c r="A10" s="7">
        <v>8</v>
      </c>
      <c r="B10" s="131" t="s">
        <v>515</v>
      </c>
      <c r="C10" s="31" t="s">
        <v>233</v>
      </c>
      <c r="D10" s="7" t="str">
        <f t="shared" si="0"/>
        <v>x</v>
      </c>
      <c r="E10" s="5">
        <v>45427</v>
      </c>
      <c r="F10" s="8" t="str">
        <f t="shared" si="1"/>
        <v>수</v>
      </c>
      <c r="G10" s="31" t="s">
        <v>229</v>
      </c>
      <c r="H10" s="31" t="s">
        <v>229</v>
      </c>
      <c r="I10" s="31" t="s">
        <v>293</v>
      </c>
      <c r="J10" s="133"/>
      <c r="K10" s="2" t="s">
        <v>145</v>
      </c>
      <c r="L10" s="32" t="s">
        <v>234</v>
      </c>
      <c r="M10" s="32" t="s">
        <v>145</v>
      </c>
      <c r="N10" s="32" t="s">
        <v>235</v>
      </c>
      <c r="O10" s="2" t="s">
        <v>236</v>
      </c>
      <c r="P10" s="2" t="s">
        <v>237</v>
      </c>
      <c r="Q10" s="3" t="s">
        <v>145</v>
      </c>
      <c r="R10" s="15" t="str">
        <f t="shared" si="2"/>
        <v>-</v>
      </c>
      <c r="S10" s="2">
        <v>3</v>
      </c>
      <c r="T10" s="4">
        <v>45428</v>
      </c>
      <c r="U10" s="31" t="s">
        <v>254</v>
      </c>
      <c r="V10" s="2" t="s">
        <v>238</v>
      </c>
      <c r="W10" s="2" t="s">
        <v>516</v>
      </c>
      <c r="X10" s="62"/>
    </row>
    <row r="11" spans="1:24" ht="148.5" customHeight="1" x14ac:dyDescent="0.3">
      <c r="A11" s="2">
        <v>9</v>
      </c>
      <c r="B11" s="9">
        <v>27943</v>
      </c>
      <c r="C11" s="2" t="s">
        <v>243</v>
      </c>
      <c r="D11" s="7">
        <f t="shared" ca="1" si="0"/>
        <v>49</v>
      </c>
      <c r="E11" s="135">
        <v>45447</v>
      </c>
      <c r="F11" s="136" t="str">
        <f t="shared" si="1"/>
        <v>화</v>
      </c>
      <c r="G11" s="2" t="s">
        <v>35</v>
      </c>
      <c r="H11" s="31" t="s">
        <v>229</v>
      </c>
      <c r="I11" s="31" t="s">
        <v>344</v>
      </c>
      <c r="J11" s="133">
        <v>7140000</v>
      </c>
      <c r="K11" s="2"/>
      <c r="L11" s="32" t="s">
        <v>244</v>
      </c>
      <c r="M11" s="32" t="s">
        <v>435</v>
      </c>
      <c r="N11" s="32" t="s">
        <v>241</v>
      </c>
      <c r="O11" s="2" t="s">
        <v>242</v>
      </c>
      <c r="P11" s="2" t="s">
        <v>48</v>
      </c>
      <c r="Q11" s="3">
        <v>45444</v>
      </c>
      <c r="R11" s="15">
        <f t="shared" si="2"/>
        <v>3</v>
      </c>
      <c r="S11" s="2">
        <v>1</v>
      </c>
      <c r="T11" s="4">
        <v>45447</v>
      </c>
      <c r="U11" s="31" t="s">
        <v>253</v>
      </c>
      <c r="V11" s="2" t="s">
        <v>84</v>
      </c>
      <c r="W11" s="2" t="s">
        <v>60</v>
      </c>
    </row>
    <row r="12" spans="1:24" ht="93.75" customHeight="1" x14ac:dyDescent="0.3">
      <c r="A12" s="7">
        <v>10</v>
      </c>
      <c r="B12" s="9">
        <v>21895</v>
      </c>
      <c r="C12" s="2" t="s">
        <v>240</v>
      </c>
      <c r="D12" s="7">
        <f t="shared" ca="1" si="0"/>
        <v>66</v>
      </c>
      <c r="E12" s="5">
        <v>45449</v>
      </c>
      <c r="F12" s="8" t="str">
        <f t="shared" si="1"/>
        <v>목</v>
      </c>
      <c r="G12" s="2" t="s">
        <v>35</v>
      </c>
      <c r="H12" s="31" t="s">
        <v>35</v>
      </c>
      <c r="I12" s="31"/>
      <c r="J12" s="133">
        <v>0</v>
      </c>
      <c r="K12" s="2"/>
      <c r="L12" s="32" t="s">
        <v>245</v>
      </c>
      <c r="M12" s="32" t="s">
        <v>419</v>
      </c>
      <c r="N12" s="32" t="s">
        <v>246</v>
      </c>
      <c r="O12" s="2" t="s">
        <v>247</v>
      </c>
      <c r="P12" s="2" t="s">
        <v>248</v>
      </c>
      <c r="Q12" s="3">
        <v>45394</v>
      </c>
      <c r="R12" s="15">
        <f t="shared" si="2"/>
        <v>55</v>
      </c>
      <c r="S12" s="2">
        <v>1</v>
      </c>
      <c r="T12" s="4">
        <v>45450</v>
      </c>
      <c r="U12" s="31" t="s">
        <v>252</v>
      </c>
      <c r="V12" s="2" t="s">
        <v>84</v>
      </c>
      <c r="W12" s="2" t="s">
        <v>36</v>
      </c>
    </row>
    <row r="13" spans="1:24" ht="99.75" customHeight="1" x14ac:dyDescent="0.3">
      <c r="A13" s="2">
        <v>11</v>
      </c>
      <c r="B13" s="9">
        <v>26272</v>
      </c>
      <c r="C13" s="2" t="s">
        <v>136</v>
      </c>
      <c r="D13" s="7">
        <f t="shared" ca="1" si="0"/>
        <v>54</v>
      </c>
      <c r="E13" s="5">
        <v>45460</v>
      </c>
      <c r="F13" s="8" t="str">
        <f t="shared" si="1"/>
        <v>월</v>
      </c>
      <c r="G13" s="2" t="s">
        <v>229</v>
      </c>
      <c r="H13" s="31" t="s">
        <v>251</v>
      </c>
      <c r="I13" s="31"/>
      <c r="J13" s="133">
        <v>0</v>
      </c>
      <c r="K13" s="2"/>
      <c r="L13" s="32" t="s">
        <v>272</v>
      </c>
      <c r="M13" s="32" t="s">
        <v>419</v>
      </c>
      <c r="N13" s="32" t="s">
        <v>273</v>
      </c>
      <c r="O13" s="2" t="s">
        <v>258</v>
      </c>
      <c r="P13" s="2" t="s">
        <v>189</v>
      </c>
      <c r="Q13" s="3">
        <v>44797</v>
      </c>
      <c r="R13" s="15">
        <f t="shared" si="2"/>
        <v>663</v>
      </c>
      <c r="S13" s="2">
        <v>1</v>
      </c>
      <c r="T13" s="4">
        <v>45461</v>
      </c>
      <c r="U13" s="31" t="s">
        <v>257</v>
      </c>
      <c r="V13" s="2" t="s">
        <v>364</v>
      </c>
      <c r="W13" s="2" t="s">
        <v>36</v>
      </c>
    </row>
    <row r="14" spans="1:24" ht="132.75" customHeight="1" x14ac:dyDescent="0.3">
      <c r="A14" s="7">
        <v>12</v>
      </c>
      <c r="B14" s="9">
        <v>35273</v>
      </c>
      <c r="C14" s="2" t="s">
        <v>250</v>
      </c>
      <c r="D14" s="7">
        <f t="shared" ca="1" si="0"/>
        <v>29</v>
      </c>
      <c r="E14" s="5">
        <v>45469</v>
      </c>
      <c r="F14" s="8" t="str">
        <f t="shared" si="1"/>
        <v>수</v>
      </c>
      <c r="G14" s="2" t="s">
        <v>229</v>
      </c>
      <c r="H14" s="31" t="s">
        <v>251</v>
      </c>
      <c r="I14" s="31"/>
      <c r="J14" s="133">
        <v>0</v>
      </c>
      <c r="K14" s="2"/>
      <c r="L14" s="32" t="s">
        <v>268</v>
      </c>
      <c r="M14" s="32" t="s">
        <v>145</v>
      </c>
      <c r="N14" s="32" t="s">
        <v>269</v>
      </c>
      <c r="O14" s="2" t="s">
        <v>255</v>
      </c>
      <c r="P14" s="2" t="s">
        <v>291</v>
      </c>
      <c r="Q14" s="3">
        <v>45462</v>
      </c>
      <c r="R14" s="15">
        <f t="shared" si="2"/>
        <v>7</v>
      </c>
      <c r="S14" s="2">
        <v>5</v>
      </c>
      <c r="T14" s="4">
        <v>45469</v>
      </c>
      <c r="U14" s="31" t="s">
        <v>256</v>
      </c>
      <c r="V14" s="2" t="s">
        <v>364</v>
      </c>
      <c r="W14" s="2" t="s">
        <v>267</v>
      </c>
    </row>
    <row r="15" spans="1:24" ht="50.25" customHeight="1" x14ac:dyDescent="0.3">
      <c r="A15" s="2">
        <v>13</v>
      </c>
      <c r="B15" s="9">
        <v>29819</v>
      </c>
      <c r="C15" s="2" t="s">
        <v>282</v>
      </c>
      <c r="D15" s="7">
        <f t="shared" ca="1" si="0"/>
        <v>44</v>
      </c>
      <c r="E15" s="5">
        <v>45478</v>
      </c>
      <c r="F15" s="8" t="str">
        <f t="shared" si="1"/>
        <v>금</v>
      </c>
      <c r="G15" s="2" t="s">
        <v>35</v>
      </c>
      <c r="H15" s="31" t="s">
        <v>316</v>
      </c>
      <c r="I15" s="31" t="s">
        <v>320</v>
      </c>
      <c r="J15" s="133">
        <v>0</v>
      </c>
      <c r="K15" s="2"/>
      <c r="L15" s="32" t="s">
        <v>305</v>
      </c>
      <c r="M15" s="32" t="s">
        <v>290</v>
      </c>
      <c r="N15" s="32" t="s">
        <v>286</v>
      </c>
      <c r="O15" s="2" t="s">
        <v>283</v>
      </c>
      <c r="P15" s="2" t="s">
        <v>284</v>
      </c>
      <c r="Q15" s="3">
        <v>45384</v>
      </c>
      <c r="R15" s="15">
        <f t="shared" si="2"/>
        <v>94</v>
      </c>
      <c r="S15" s="2">
        <v>2</v>
      </c>
      <c r="T15" s="4">
        <v>45505</v>
      </c>
      <c r="U15" s="75" t="s">
        <v>285</v>
      </c>
      <c r="V15" s="2" t="s">
        <v>290</v>
      </c>
      <c r="W15" s="2" t="s">
        <v>36</v>
      </c>
    </row>
    <row r="16" spans="1:24" ht="50.25" customHeight="1" x14ac:dyDescent="0.3">
      <c r="A16" s="7">
        <v>14</v>
      </c>
      <c r="B16" s="9">
        <v>24727</v>
      </c>
      <c r="C16" s="2" t="s">
        <v>274</v>
      </c>
      <c r="D16" s="7">
        <f t="shared" ca="1" si="0"/>
        <v>58</v>
      </c>
      <c r="E16" s="5">
        <v>45483</v>
      </c>
      <c r="F16" s="8" t="str">
        <f t="shared" si="1"/>
        <v>수</v>
      </c>
      <c r="G16" s="2" t="s">
        <v>229</v>
      </c>
      <c r="H16" s="31" t="s">
        <v>292</v>
      </c>
      <c r="I16" s="31" t="s">
        <v>304</v>
      </c>
      <c r="J16" s="133"/>
      <c r="K16" s="2"/>
      <c r="L16" s="32" t="s">
        <v>275</v>
      </c>
      <c r="M16" s="32" t="s">
        <v>419</v>
      </c>
      <c r="N16" s="32" t="s">
        <v>276</v>
      </c>
      <c r="O16" s="2" t="s">
        <v>277</v>
      </c>
      <c r="P16" s="2" t="s">
        <v>61</v>
      </c>
      <c r="Q16" s="3">
        <v>45012</v>
      </c>
      <c r="R16" s="15">
        <f t="shared" si="2"/>
        <v>471</v>
      </c>
      <c r="S16" s="2">
        <v>4</v>
      </c>
      <c r="T16" s="4">
        <v>45513</v>
      </c>
      <c r="U16" s="31" t="s">
        <v>262</v>
      </c>
      <c r="V16" s="2" t="s">
        <v>364</v>
      </c>
      <c r="W16" s="2" t="s">
        <v>36</v>
      </c>
    </row>
    <row r="17" spans="1:24" ht="49.5" x14ac:dyDescent="0.3">
      <c r="A17" s="2">
        <v>15</v>
      </c>
      <c r="B17" s="9">
        <v>26952</v>
      </c>
      <c r="C17" s="2" t="s">
        <v>278</v>
      </c>
      <c r="D17" s="7">
        <f t="shared" ca="1" si="0"/>
        <v>52</v>
      </c>
      <c r="E17" s="135">
        <v>45513</v>
      </c>
      <c r="F17" s="136" t="str">
        <f t="shared" si="1"/>
        <v>금</v>
      </c>
      <c r="G17" s="2" t="s">
        <v>35</v>
      </c>
      <c r="H17" s="31" t="s">
        <v>229</v>
      </c>
      <c r="I17" s="31" t="s">
        <v>338</v>
      </c>
      <c r="J17" s="133"/>
      <c r="K17" s="2"/>
      <c r="L17" s="32" t="s">
        <v>287</v>
      </c>
      <c r="M17" s="32" t="s">
        <v>432</v>
      </c>
      <c r="N17" s="32" t="s">
        <v>288</v>
      </c>
      <c r="O17" s="2" t="s">
        <v>280</v>
      </c>
      <c r="P17" s="2" t="s">
        <v>279</v>
      </c>
      <c r="Q17" s="3">
        <v>44823</v>
      </c>
      <c r="R17" s="15">
        <f t="shared" si="2"/>
        <v>690</v>
      </c>
      <c r="S17" s="2">
        <v>1</v>
      </c>
      <c r="T17" s="4">
        <v>45516</v>
      </c>
      <c r="U17" s="31" t="s">
        <v>289</v>
      </c>
      <c r="V17" s="2" t="s">
        <v>84</v>
      </c>
      <c r="W17" s="2" t="s">
        <v>36</v>
      </c>
      <c r="X17" s="1" t="s">
        <v>339</v>
      </c>
    </row>
    <row r="18" spans="1:24" ht="68.25" customHeight="1" x14ac:dyDescent="0.3">
      <c r="A18" s="7">
        <v>16</v>
      </c>
      <c r="B18" s="9">
        <v>26922</v>
      </c>
      <c r="C18" s="2" t="s">
        <v>306</v>
      </c>
      <c r="D18" s="7">
        <f t="shared" ca="1" si="0"/>
        <v>52</v>
      </c>
      <c r="E18" s="5">
        <v>45524</v>
      </c>
      <c r="F18" s="8" t="str">
        <f t="shared" si="1"/>
        <v>화</v>
      </c>
      <c r="G18" s="2" t="s">
        <v>35</v>
      </c>
      <c r="H18" s="31" t="s">
        <v>35</v>
      </c>
      <c r="I18" s="31" t="s">
        <v>307</v>
      </c>
      <c r="J18" s="133"/>
      <c r="K18" s="2"/>
      <c r="L18" s="32" t="s">
        <v>308</v>
      </c>
      <c r="M18" s="32" t="s">
        <v>419</v>
      </c>
      <c r="N18" s="32" t="s">
        <v>309</v>
      </c>
      <c r="O18" s="2" t="s">
        <v>310</v>
      </c>
      <c r="P18" s="2" t="s">
        <v>34</v>
      </c>
      <c r="Q18" s="3">
        <v>45216</v>
      </c>
      <c r="R18" s="15">
        <f t="shared" si="2"/>
        <v>308</v>
      </c>
      <c r="S18" s="2">
        <v>2</v>
      </c>
      <c r="T18" s="4">
        <v>45530</v>
      </c>
      <c r="U18" s="31" t="s">
        <v>311</v>
      </c>
      <c r="V18" s="2" t="s">
        <v>84</v>
      </c>
      <c r="W18" s="2" t="s">
        <v>36</v>
      </c>
    </row>
    <row r="19" spans="1:24" ht="50.25" customHeight="1" x14ac:dyDescent="0.3">
      <c r="A19" s="2">
        <v>17</v>
      </c>
      <c r="B19" s="9">
        <v>30181</v>
      </c>
      <c r="C19" s="2" t="s">
        <v>312</v>
      </c>
      <c r="D19" s="7">
        <f t="shared" ca="1" si="0"/>
        <v>43</v>
      </c>
      <c r="E19" s="135">
        <v>45530</v>
      </c>
      <c r="F19" s="136" t="str">
        <f t="shared" si="1"/>
        <v>월</v>
      </c>
      <c r="G19" s="2" t="s">
        <v>35</v>
      </c>
      <c r="H19" s="31" t="s">
        <v>229</v>
      </c>
      <c r="I19" s="31" t="s">
        <v>307</v>
      </c>
      <c r="J19" s="133"/>
      <c r="K19" s="2"/>
      <c r="L19" s="32" t="s">
        <v>313</v>
      </c>
      <c r="M19" s="32" t="s">
        <v>420</v>
      </c>
      <c r="N19" s="32" t="s">
        <v>314</v>
      </c>
      <c r="O19" s="2" t="s">
        <v>121</v>
      </c>
      <c r="P19" s="2" t="s">
        <v>122</v>
      </c>
      <c r="Q19" s="3">
        <v>45505</v>
      </c>
      <c r="R19" s="15">
        <f t="shared" si="2"/>
        <v>25</v>
      </c>
      <c r="S19" s="2">
        <v>1</v>
      </c>
      <c r="T19" s="4">
        <v>45530</v>
      </c>
      <c r="U19" s="31" t="s">
        <v>360</v>
      </c>
      <c r="V19" s="2" t="s">
        <v>84</v>
      </c>
      <c r="W19" s="2" t="s">
        <v>315</v>
      </c>
    </row>
    <row r="20" spans="1:24" ht="50.25" customHeight="1" x14ac:dyDescent="0.3">
      <c r="A20" s="7">
        <v>18</v>
      </c>
      <c r="B20" s="9">
        <v>27108</v>
      </c>
      <c r="C20" s="15" t="s">
        <v>321</v>
      </c>
      <c r="D20" s="7">
        <f t="shared" ca="1" si="0"/>
        <v>51</v>
      </c>
      <c r="E20" s="16">
        <v>45558</v>
      </c>
      <c r="F20" s="8" t="str">
        <f t="shared" si="1"/>
        <v>월</v>
      </c>
      <c r="G20" s="15" t="s">
        <v>35</v>
      </c>
      <c r="H20" s="34" t="s">
        <v>35</v>
      </c>
      <c r="I20" s="34" t="s">
        <v>307</v>
      </c>
      <c r="J20" s="134"/>
      <c r="K20" s="15"/>
      <c r="L20" s="35" t="s">
        <v>322</v>
      </c>
      <c r="M20" s="35" t="s">
        <v>145</v>
      </c>
      <c r="N20" s="35" t="s">
        <v>323</v>
      </c>
      <c r="O20" s="15" t="s">
        <v>324</v>
      </c>
      <c r="P20" s="15" t="s">
        <v>230</v>
      </c>
      <c r="Q20" s="17">
        <v>45558</v>
      </c>
      <c r="R20" s="15" t="str">
        <f t="shared" si="2"/>
        <v/>
      </c>
      <c r="S20" s="15">
        <v>1</v>
      </c>
      <c r="T20" s="73">
        <v>45558</v>
      </c>
      <c r="U20" s="34" t="s">
        <v>289</v>
      </c>
      <c r="V20" s="15" t="s">
        <v>84</v>
      </c>
      <c r="W20" s="15" t="s">
        <v>267</v>
      </c>
    </row>
    <row r="21" spans="1:24" ht="50.25" customHeight="1" x14ac:dyDescent="0.3">
      <c r="A21" s="2">
        <v>19</v>
      </c>
      <c r="B21" s="9">
        <v>28756</v>
      </c>
      <c r="C21" s="15" t="s">
        <v>325</v>
      </c>
      <c r="D21" s="7">
        <f t="shared" ca="1" si="0"/>
        <v>47</v>
      </c>
      <c r="E21" s="16">
        <v>45558</v>
      </c>
      <c r="F21" s="8" t="str">
        <f t="shared" si="1"/>
        <v>월</v>
      </c>
      <c r="G21" s="15" t="s">
        <v>35</v>
      </c>
      <c r="H21" s="34" t="s">
        <v>35</v>
      </c>
      <c r="I21" s="34" t="s">
        <v>331</v>
      </c>
      <c r="J21" s="134"/>
      <c r="K21" s="15"/>
      <c r="L21" s="35" t="s">
        <v>332</v>
      </c>
      <c r="M21" s="35" t="s">
        <v>436</v>
      </c>
      <c r="N21" s="35" t="s">
        <v>328</v>
      </c>
      <c r="O21" s="15" t="s">
        <v>329</v>
      </c>
      <c r="P21" s="15" t="s">
        <v>330</v>
      </c>
      <c r="Q21" s="17">
        <v>45154</v>
      </c>
      <c r="R21" s="15">
        <f t="shared" si="2"/>
        <v>404</v>
      </c>
      <c r="S21" s="15">
        <v>4</v>
      </c>
      <c r="T21" s="73">
        <v>45559</v>
      </c>
      <c r="U21" s="34" t="s">
        <v>326</v>
      </c>
      <c r="V21" s="15" t="s">
        <v>327</v>
      </c>
      <c r="W21" s="15" t="s">
        <v>36</v>
      </c>
    </row>
    <row r="22" spans="1:24" ht="50.25" customHeight="1" x14ac:dyDescent="0.3">
      <c r="A22" s="7">
        <v>20</v>
      </c>
      <c r="B22" s="9">
        <v>34026</v>
      </c>
      <c r="C22" s="15" t="s">
        <v>345</v>
      </c>
      <c r="D22" s="7">
        <f t="shared" ca="1" si="0"/>
        <v>32</v>
      </c>
      <c r="E22" s="16">
        <v>45562</v>
      </c>
      <c r="F22" s="8" t="str">
        <f t="shared" si="1"/>
        <v>금</v>
      </c>
      <c r="G22" s="15" t="s">
        <v>229</v>
      </c>
      <c r="H22" s="34" t="s">
        <v>251</v>
      </c>
      <c r="I22" s="34" t="s">
        <v>356</v>
      </c>
      <c r="J22" s="134"/>
      <c r="K22" s="15"/>
      <c r="L22" s="35" t="s">
        <v>357</v>
      </c>
      <c r="M22" s="35" t="s">
        <v>419</v>
      </c>
      <c r="N22" s="35" t="s">
        <v>337</v>
      </c>
      <c r="O22" s="15" t="s">
        <v>264</v>
      </c>
      <c r="P22" s="15" t="s">
        <v>47</v>
      </c>
      <c r="Q22" s="74">
        <v>45537</v>
      </c>
      <c r="R22" s="15">
        <f t="shared" si="2"/>
        <v>25</v>
      </c>
      <c r="S22" s="15">
        <v>4</v>
      </c>
      <c r="T22" s="73">
        <v>45572</v>
      </c>
      <c r="U22" s="76" t="s">
        <v>362</v>
      </c>
      <c r="V22" s="15" t="s">
        <v>364</v>
      </c>
      <c r="W22" s="15"/>
    </row>
    <row r="23" spans="1:24" ht="50.25" customHeight="1" x14ac:dyDescent="0.3">
      <c r="A23" s="2">
        <v>21</v>
      </c>
      <c r="B23" s="9">
        <v>32927</v>
      </c>
      <c r="C23" s="15" t="s">
        <v>333</v>
      </c>
      <c r="D23" s="7">
        <f t="shared" ca="1" si="0"/>
        <v>36</v>
      </c>
      <c r="E23" s="16">
        <v>45565</v>
      </c>
      <c r="F23" s="8" t="str">
        <f t="shared" si="1"/>
        <v>월</v>
      </c>
      <c r="G23" s="15" t="s">
        <v>229</v>
      </c>
      <c r="H23" s="34" t="s">
        <v>229</v>
      </c>
      <c r="I23" s="34" t="s">
        <v>336</v>
      </c>
      <c r="J23" s="134"/>
      <c r="K23" s="15"/>
      <c r="L23" s="35" t="s">
        <v>361</v>
      </c>
      <c r="M23" s="35" t="s">
        <v>419</v>
      </c>
      <c r="N23" s="35" t="s">
        <v>337</v>
      </c>
      <c r="O23" s="15" t="s">
        <v>335</v>
      </c>
      <c r="P23" s="15" t="s">
        <v>334</v>
      </c>
      <c r="Q23" s="74">
        <v>45450</v>
      </c>
      <c r="R23" s="15">
        <f t="shared" si="2"/>
        <v>115</v>
      </c>
      <c r="S23" s="15">
        <v>1</v>
      </c>
      <c r="T23" s="73">
        <v>45565</v>
      </c>
      <c r="U23" s="34" t="s">
        <v>262</v>
      </c>
      <c r="V23" s="15" t="s">
        <v>84</v>
      </c>
      <c r="W23" s="15" t="s">
        <v>315</v>
      </c>
    </row>
    <row r="24" spans="1:24" ht="50.25" customHeight="1" x14ac:dyDescent="0.3">
      <c r="A24" s="7">
        <v>22</v>
      </c>
      <c r="B24" s="9">
        <v>36873</v>
      </c>
      <c r="C24" s="15" t="s">
        <v>346</v>
      </c>
      <c r="D24" s="7">
        <f t="shared" ca="1" si="0"/>
        <v>25</v>
      </c>
      <c r="E24" s="16">
        <v>45593</v>
      </c>
      <c r="F24" s="8" t="str">
        <f t="shared" si="1"/>
        <v>월</v>
      </c>
      <c r="G24" s="15" t="s">
        <v>35</v>
      </c>
      <c r="H24" s="34" t="s">
        <v>229</v>
      </c>
      <c r="I24" s="34" t="s">
        <v>350</v>
      </c>
      <c r="J24" s="134"/>
      <c r="K24" s="15"/>
      <c r="L24" s="35" t="s">
        <v>347</v>
      </c>
      <c r="M24" s="35" t="s">
        <v>419</v>
      </c>
      <c r="N24" s="35" t="s">
        <v>337</v>
      </c>
      <c r="O24" s="15" t="s">
        <v>348</v>
      </c>
      <c r="P24" s="15" t="s">
        <v>62</v>
      </c>
      <c r="Q24" s="74">
        <v>45558</v>
      </c>
      <c r="R24" s="15">
        <f t="shared" si="2"/>
        <v>35</v>
      </c>
      <c r="S24" s="15">
        <v>3</v>
      </c>
      <c r="T24" s="73">
        <v>45593</v>
      </c>
      <c r="U24" s="34" t="s">
        <v>262</v>
      </c>
      <c r="V24" s="15" t="s">
        <v>86</v>
      </c>
      <c r="W24" s="15" t="s">
        <v>36</v>
      </c>
    </row>
    <row r="25" spans="1:24" ht="66" customHeight="1" x14ac:dyDescent="0.3">
      <c r="A25" s="2">
        <v>23</v>
      </c>
      <c r="B25" s="9">
        <v>25800</v>
      </c>
      <c r="C25" s="15" t="s">
        <v>349</v>
      </c>
      <c r="D25" s="7">
        <f t="shared" ca="1" si="0"/>
        <v>55</v>
      </c>
      <c r="E25" s="16">
        <v>45596</v>
      </c>
      <c r="F25" s="8" t="str">
        <f t="shared" si="1"/>
        <v>목</v>
      </c>
      <c r="G25" s="15" t="s">
        <v>35</v>
      </c>
      <c r="H25" s="34" t="s">
        <v>229</v>
      </c>
      <c r="I25" s="34" t="s">
        <v>307</v>
      </c>
      <c r="J25" s="134"/>
      <c r="K25" s="15"/>
      <c r="L25" s="35" t="s">
        <v>351</v>
      </c>
      <c r="M25" s="35" t="s">
        <v>437</v>
      </c>
      <c r="N25" s="35" t="s">
        <v>352</v>
      </c>
      <c r="O25" s="15" t="s">
        <v>348</v>
      </c>
      <c r="P25" s="15" t="s">
        <v>62</v>
      </c>
      <c r="Q25" s="74">
        <v>45540</v>
      </c>
      <c r="R25" s="15">
        <f t="shared" si="2"/>
        <v>56</v>
      </c>
      <c r="S25" s="15">
        <v>3</v>
      </c>
      <c r="T25" s="73">
        <v>45596</v>
      </c>
      <c r="U25" s="34" t="s">
        <v>262</v>
      </c>
      <c r="V25" s="15" t="s">
        <v>87</v>
      </c>
      <c r="W25" s="15" t="s">
        <v>267</v>
      </c>
    </row>
    <row r="26" spans="1:24" ht="100.5" customHeight="1" x14ac:dyDescent="0.3">
      <c r="A26" s="7">
        <v>24</v>
      </c>
      <c r="B26" s="9">
        <v>34068</v>
      </c>
      <c r="C26" s="15" t="s">
        <v>353</v>
      </c>
      <c r="D26" s="7">
        <f t="shared" ca="1" si="0"/>
        <v>32</v>
      </c>
      <c r="E26" s="16">
        <v>45609</v>
      </c>
      <c r="F26" s="8" t="str">
        <f t="shared" si="1"/>
        <v>수</v>
      </c>
      <c r="G26" s="15" t="s">
        <v>35</v>
      </c>
      <c r="H26" s="34" t="s">
        <v>229</v>
      </c>
      <c r="I26" s="34" t="s">
        <v>371</v>
      </c>
      <c r="J26" s="134"/>
      <c r="K26" s="15"/>
      <c r="L26" s="35" t="s">
        <v>372</v>
      </c>
      <c r="M26" s="35" t="s">
        <v>430</v>
      </c>
      <c r="N26" s="35" t="s">
        <v>358</v>
      </c>
      <c r="O26" s="15" t="s">
        <v>354</v>
      </c>
      <c r="P26" s="15" t="s">
        <v>355</v>
      </c>
      <c r="Q26" s="74">
        <v>45355</v>
      </c>
      <c r="R26" s="15">
        <f t="shared" si="2"/>
        <v>254</v>
      </c>
      <c r="S26" s="15">
        <v>5</v>
      </c>
      <c r="T26" s="73">
        <v>45609</v>
      </c>
      <c r="U26" s="34" t="s">
        <v>369</v>
      </c>
      <c r="V26" s="15" t="s">
        <v>299</v>
      </c>
      <c r="W26" s="15" t="s">
        <v>36</v>
      </c>
      <c r="X26" s="1" t="s">
        <v>370</v>
      </c>
    </row>
    <row r="27" spans="1:24" ht="50.25" customHeight="1" x14ac:dyDescent="0.3">
      <c r="A27" s="70" t="s">
        <v>216</v>
      </c>
      <c r="B27" s="71"/>
      <c r="C27" s="71"/>
      <c r="D27" s="71"/>
      <c r="E27" s="71"/>
      <c r="F27" s="71"/>
      <c r="G27" s="71"/>
      <c r="H27" s="71"/>
      <c r="I27" s="72"/>
      <c r="J27" s="27">
        <f>SUM(J3:J26)</f>
        <v>7540000</v>
      </c>
      <c r="K27" s="15"/>
      <c r="L27" s="35" t="s">
        <v>373</v>
      </c>
      <c r="M27" s="35"/>
      <c r="N27" s="35"/>
      <c r="O27" s="15"/>
      <c r="P27" s="15"/>
      <c r="Q27" s="17"/>
      <c r="R27" s="15" t="str">
        <f>IF((E27-Q27)=0,"",(E27-Q27))</f>
        <v/>
      </c>
      <c r="S27" s="15"/>
      <c r="T27" s="15"/>
      <c r="U27" s="34"/>
      <c r="V27" s="15"/>
      <c r="W27" s="15"/>
    </row>
    <row r="28" spans="1:24" ht="6" customHeight="1" x14ac:dyDescent="0.3">
      <c r="A28" s="67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9"/>
    </row>
    <row r="29" spans="1:24" x14ac:dyDescent="0.3">
      <c r="E29" s="24"/>
      <c r="F29" s="24"/>
    </row>
    <row r="30" spans="1:24" x14ac:dyDescent="0.3">
      <c r="E30" s="24"/>
      <c r="F30" s="24"/>
    </row>
    <row r="31" spans="1:24" x14ac:dyDescent="0.3">
      <c r="E31" s="24"/>
      <c r="F31" s="24"/>
    </row>
    <row r="32" spans="1:24" x14ac:dyDescent="0.3">
      <c r="E32" s="24"/>
      <c r="F32" s="24"/>
    </row>
    <row r="33" spans="5:6" x14ac:dyDescent="0.3">
      <c r="E33" s="24"/>
      <c r="F33" s="24"/>
    </row>
    <row r="34" spans="5:6" x14ac:dyDescent="0.3">
      <c r="E34" s="24"/>
      <c r="F34" s="24"/>
    </row>
    <row r="35" spans="5:6" x14ac:dyDescent="0.3">
      <c r="E35" s="24"/>
      <c r="F35" s="24"/>
    </row>
    <row r="36" spans="5:6" x14ac:dyDescent="0.3">
      <c r="E36" s="24"/>
      <c r="F36" s="24"/>
    </row>
    <row r="37" spans="5:6" x14ac:dyDescent="0.3">
      <c r="E37" s="24"/>
      <c r="F37" s="24"/>
    </row>
    <row r="38" spans="5:6" x14ac:dyDescent="0.3">
      <c r="E38" s="24"/>
      <c r="F38" s="24"/>
    </row>
    <row r="39" spans="5:6" x14ac:dyDescent="0.3">
      <c r="E39" s="24"/>
      <c r="F39" s="24"/>
    </row>
    <row r="40" spans="5:6" x14ac:dyDescent="0.3">
      <c r="E40" s="24"/>
      <c r="F40" s="24"/>
    </row>
    <row r="41" spans="5:6" x14ac:dyDescent="0.3">
      <c r="E41" s="24"/>
      <c r="F41" s="24"/>
    </row>
    <row r="42" spans="5:6" x14ac:dyDescent="0.3">
      <c r="E42" s="24"/>
      <c r="F42" s="24"/>
    </row>
    <row r="43" spans="5:6" x14ac:dyDescent="0.3">
      <c r="E43" s="24"/>
      <c r="F43" s="24"/>
    </row>
    <row r="44" spans="5:6" x14ac:dyDescent="0.3">
      <c r="E44" s="24"/>
      <c r="F44" s="24"/>
    </row>
    <row r="45" spans="5:6" x14ac:dyDescent="0.3">
      <c r="E45" s="24"/>
      <c r="F45" s="24"/>
    </row>
    <row r="46" spans="5:6" x14ac:dyDescent="0.3">
      <c r="E46" s="24"/>
      <c r="F46" s="24"/>
    </row>
    <row r="47" spans="5:6" x14ac:dyDescent="0.3">
      <c r="E47" s="24"/>
      <c r="F47" s="24"/>
    </row>
    <row r="48" spans="5:6" x14ac:dyDescent="0.3">
      <c r="E48" s="24"/>
      <c r="F48" s="24"/>
    </row>
    <row r="49" spans="5:6" x14ac:dyDescent="0.3">
      <c r="E49" s="24"/>
      <c r="F49" s="24"/>
    </row>
    <row r="50" spans="5:6" x14ac:dyDescent="0.3">
      <c r="E50" s="24"/>
      <c r="F50" s="24"/>
    </row>
    <row r="51" spans="5:6" x14ac:dyDescent="0.3">
      <c r="E51" s="24"/>
      <c r="F51" s="24"/>
    </row>
    <row r="52" spans="5:6" x14ac:dyDescent="0.3">
      <c r="E52" s="24"/>
      <c r="F52" s="24"/>
    </row>
    <row r="53" spans="5:6" x14ac:dyDescent="0.3">
      <c r="E53" s="24"/>
      <c r="F53" s="24"/>
    </row>
    <row r="54" spans="5:6" x14ac:dyDescent="0.3">
      <c r="E54" s="24"/>
      <c r="F54" s="24"/>
    </row>
    <row r="55" spans="5:6" x14ac:dyDescent="0.3">
      <c r="E55" s="24"/>
      <c r="F55" s="24"/>
    </row>
    <row r="56" spans="5:6" x14ac:dyDescent="0.3">
      <c r="E56" s="24"/>
      <c r="F56" s="24"/>
    </row>
    <row r="57" spans="5:6" x14ac:dyDescent="0.3">
      <c r="E57" s="24"/>
      <c r="F57" s="24"/>
    </row>
    <row r="58" spans="5:6" x14ac:dyDescent="0.3">
      <c r="E58" s="24"/>
      <c r="F58" s="24"/>
    </row>
    <row r="59" spans="5:6" x14ac:dyDescent="0.3">
      <c r="E59" s="24"/>
      <c r="F59" s="24"/>
    </row>
    <row r="60" spans="5:6" x14ac:dyDescent="0.3">
      <c r="E60" s="24"/>
      <c r="F60" s="24"/>
    </row>
  </sheetData>
  <autoFilter ref="A2:X27" xr:uid="{D4B4DA04-45D3-4FE9-A1BF-FBAF30293A2A}">
    <sortState xmlns:xlrd2="http://schemas.microsoft.com/office/spreadsheetml/2017/richdata2" ref="A3:X27">
      <sortCondition ref="E2:E27"/>
    </sortState>
  </autoFilter>
  <mergeCells count="1">
    <mergeCell ref="N1:O1"/>
  </mergeCells>
  <phoneticPr fontId="1" type="noConversion"/>
  <conditionalFormatting sqref="B3:B26">
    <cfRule type="cellIs" dxfId="36" priority="3" operator="lessThan">
      <formula>641231</formula>
    </cfRule>
  </conditionalFormatting>
  <conditionalFormatting sqref="H3:H26">
    <cfRule type="containsText" dxfId="35" priority="1" operator="containsText" text="O">
      <formula>NOT(ISERROR(SEARCH("O",H3)))</formula>
    </cfRule>
  </conditionalFormatting>
  <conditionalFormatting sqref="R3:R27">
    <cfRule type="cellIs" dxfId="34" priority="2" operator="lessThan">
      <formula>64</formula>
    </cfRule>
  </conditionalFormatting>
  <pageMargins left="7.874015748031496E-2" right="0" top="0.23622047244094491" bottom="0.15748031496062992" header="0.19685039370078741" footer="0.11811023622047245"/>
  <pageSetup paperSize="9" scale="46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09AD-5B56-4D61-A6D0-4CD45A4A91B4}">
  <sheetPr>
    <tabColor theme="4"/>
    <pageSetUpPr fitToPage="1"/>
  </sheetPr>
  <dimension ref="A1:AC77"/>
  <sheetViews>
    <sheetView showGridLines="0" zoomScale="70" zoomScaleNormal="70" workbookViewId="0">
      <pane ySplit="2" topLeftCell="A14" activePane="bottomLeft" state="frozen"/>
      <selection pane="bottomLeft" activeCell="M22" sqref="M22"/>
    </sheetView>
  </sheetViews>
  <sheetFormatPr defaultRowHeight="16.5" x14ac:dyDescent="0.3"/>
  <cols>
    <col min="1" max="1" width="5.125" customWidth="1"/>
    <col min="2" max="2" width="11.75" customWidth="1"/>
    <col min="5" max="5" width="9.25" customWidth="1"/>
    <col min="6" max="6" width="5.5" customWidth="1"/>
    <col min="7" max="7" width="7" customWidth="1"/>
    <col min="9" max="10" width="15.25" style="14" customWidth="1"/>
    <col min="11" max="11" width="14.125" style="1" customWidth="1"/>
    <col min="12" max="12" width="6.625" style="1" customWidth="1"/>
    <col min="13" max="13" width="45.25" customWidth="1"/>
    <col min="14" max="14" width="20.75" customWidth="1"/>
    <col min="15" max="15" width="29.75" customWidth="1"/>
    <col min="16" max="16" width="17.875" style="122" bestFit="1" customWidth="1"/>
    <col min="17" max="17" width="13" bestFit="1" customWidth="1"/>
    <col min="18" max="18" width="11" customWidth="1"/>
    <col min="19" max="19" width="8.375" customWidth="1"/>
    <col min="20" max="20" width="5.25" customWidth="1"/>
    <col min="21" max="21" width="10.125" customWidth="1"/>
    <col min="22" max="22" width="11.875" customWidth="1"/>
    <col min="23" max="23" width="8" style="14" customWidth="1"/>
    <col min="24" max="24" width="7.125" style="1" customWidth="1"/>
    <col min="25" max="25" width="7" style="1" customWidth="1"/>
    <col min="26" max="26" width="27" style="125" customWidth="1"/>
    <col min="29" max="29" width="12.25" bestFit="1" customWidth="1"/>
  </cols>
  <sheetData>
    <row r="1" spans="1:29" ht="25.5" customHeight="1" x14ac:dyDescent="0.3">
      <c r="A1" s="50" t="s">
        <v>404</v>
      </c>
      <c r="B1" s="50"/>
      <c r="C1" s="50"/>
      <c r="D1" s="50"/>
      <c r="E1" s="50"/>
      <c r="F1" s="50"/>
      <c r="G1" s="50"/>
      <c r="H1" s="50"/>
      <c r="I1" s="50"/>
      <c r="J1" s="130" t="s">
        <v>513</v>
      </c>
      <c r="K1" s="141">
        <f ca="1">TODAY()</f>
        <v>46078</v>
      </c>
      <c r="L1" s="141"/>
      <c r="M1" s="50"/>
      <c r="N1" s="50"/>
      <c r="O1" s="50"/>
      <c r="P1" s="117"/>
      <c r="Q1" s="50"/>
      <c r="R1" s="50"/>
      <c r="S1" s="50"/>
      <c r="T1" s="50"/>
      <c r="U1" s="50"/>
      <c r="V1" s="50"/>
      <c r="W1" s="50"/>
      <c r="X1" s="50"/>
      <c r="Y1" s="50"/>
      <c r="AC1" s="83">
        <v>23742</v>
      </c>
    </row>
    <row r="2" spans="1:29" s="1" customFormat="1" ht="37.5" customHeight="1" x14ac:dyDescent="0.3">
      <c r="A2" s="11" t="s">
        <v>26</v>
      </c>
      <c r="B2" s="11" t="s">
        <v>32</v>
      </c>
      <c r="C2" s="11" t="s">
        <v>27</v>
      </c>
      <c r="D2" s="11" t="s">
        <v>511</v>
      </c>
      <c r="E2" s="12" t="s">
        <v>30</v>
      </c>
      <c r="F2" s="12" t="s">
        <v>512</v>
      </c>
      <c r="G2" s="12" t="s">
        <v>281</v>
      </c>
      <c r="H2" s="11" t="s">
        <v>210</v>
      </c>
      <c r="I2" s="11" t="s">
        <v>301</v>
      </c>
      <c r="J2" s="12" t="s">
        <v>470</v>
      </c>
      <c r="K2" s="12" t="s">
        <v>376</v>
      </c>
      <c r="L2" s="12" t="s">
        <v>456</v>
      </c>
      <c r="M2" s="11" t="s">
        <v>126</v>
      </c>
      <c r="N2" s="11" t="s">
        <v>438</v>
      </c>
      <c r="O2" s="11" t="s">
        <v>207</v>
      </c>
      <c r="P2" s="12" t="s">
        <v>28</v>
      </c>
      <c r="Q2" s="11" t="s">
        <v>31</v>
      </c>
      <c r="R2" s="11" t="s">
        <v>33</v>
      </c>
      <c r="S2" s="12" t="s">
        <v>38</v>
      </c>
      <c r="T2" s="12" t="s">
        <v>94</v>
      </c>
      <c r="U2" s="12" t="s">
        <v>249</v>
      </c>
      <c r="V2" s="11" t="s">
        <v>384</v>
      </c>
      <c r="W2" s="11" t="s">
        <v>83</v>
      </c>
      <c r="X2" s="11" t="s">
        <v>37</v>
      </c>
      <c r="Y2" s="12" t="s">
        <v>119</v>
      </c>
      <c r="Z2" s="123" t="s">
        <v>485</v>
      </c>
    </row>
    <row r="3" spans="1:29" ht="87" customHeight="1" x14ac:dyDescent="0.3">
      <c r="A3" s="7">
        <v>1</v>
      </c>
      <c r="B3" s="9">
        <v>32318</v>
      </c>
      <c r="C3" s="7" t="s">
        <v>386</v>
      </c>
      <c r="D3" s="7">
        <f t="shared" ref="D3:D31" ca="1" si="0">IF(B3="x","",(YEAR($K$1)-YEAR(B3)-(TEXT($K$1,"MMDD")&lt;TEXT(B3,"MMDD"))))</f>
        <v>37</v>
      </c>
      <c r="E3" s="136">
        <v>45693</v>
      </c>
      <c r="F3" s="8" t="str">
        <f t="shared" ref="F3:F31" si="1">IF(E3="","",(CHOOSE(WEEKDAY(E3),"일","월","화","수","목","금","토")))</f>
        <v>수</v>
      </c>
      <c r="G3" s="7" t="s">
        <v>229</v>
      </c>
      <c r="H3" s="31" t="s">
        <v>229</v>
      </c>
      <c r="I3" s="29" t="s">
        <v>395</v>
      </c>
      <c r="J3" s="86">
        <v>0</v>
      </c>
      <c r="K3" s="87">
        <v>210500</v>
      </c>
      <c r="L3" s="116">
        <v>2</v>
      </c>
      <c r="M3" s="30" t="s">
        <v>387</v>
      </c>
      <c r="N3" s="30" t="s">
        <v>439</v>
      </c>
      <c r="O3" s="30" t="s">
        <v>459</v>
      </c>
      <c r="P3" s="29" t="s">
        <v>457</v>
      </c>
      <c r="Q3" s="7" t="s">
        <v>458</v>
      </c>
      <c r="R3" s="9">
        <v>45642</v>
      </c>
      <c r="S3" s="15">
        <f t="shared" ref="S3:S18" si="2">IF((E3-R3)=0,"",(E3-R3))</f>
        <v>51</v>
      </c>
      <c r="T3" s="7">
        <v>5</v>
      </c>
      <c r="U3" s="61">
        <v>45693</v>
      </c>
      <c r="V3" s="84">
        <f t="shared" ref="V3:V18" si="3">U3-E3</f>
        <v>0</v>
      </c>
      <c r="W3" s="7" t="s">
        <v>385</v>
      </c>
      <c r="X3" s="7" t="s">
        <v>36</v>
      </c>
      <c r="Y3" s="7" t="str">
        <f>IF(AND(B3&lt;$AC$1,S3&lt;60),"고령,신규",IF(AND(B3&lt;$AC$1,S3&gt;=60),"고령",IF(S3&lt;60,"신규","")))</f>
        <v>신규</v>
      </c>
      <c r="Z3" s="126"/>
    </row>
    <row r="4" spans="1:29" ht="59.25" customHeight="1" x14ac:dyDescent="0.3">
      <c r="A4" s="2">
        <v>2</v>
      </c>
      <c r="B4" s="3">
        <v>27662</v>
      </c>
      <c r="C4" s="2" t="s">
        <v>379</v>
      </c>
      <c r="D4" s="7">
        <f t="shared" ca="1" si="0"/>
        <v>50</v>
      </c>
      <c r="E4" s="135">
        <v>45699</v>
      </c>
      <c r="F4" s="8" t="str">
        <f t="shared" si="1"/>
        <v>화</v>
      </c>
      <c r="G4" s="2" t="s">
        <v>132</v>
      </c>
      <c r="H4" s="31" t="s">
        <v>132</v>
      </c>
      <c r="I4" s="31" t="s">
        <v>383</v>
      </c>
      <c r="J4" s="88">
        <v>200000</v>
      </c>
      <c r="K4" s="89">
        <v>139180</v>
      </c>
      <c r="L4" s="115">
        <v>2</v>
      </c>
      <c r="M4" s="32" t="s">
        <v>381</v>
      </c>
      <c r="N4" s="32" t="s">
        <v>419</v>
      </c>
      <c r="O4" s="32" t="s">
        <v>382</v>
      </c>
      <c r="P4" s="31" t="s">
        <v>380</v>
      </c>
      <c r="Q4" s="2" t="s">
        <v>230</v>
      </c>
      <c r="R4" s="3">
        <v>45689</v>
      </c>
      <c r="S4" s="85">
        <f t="shared" si="2"/>
        <v>10</v>
      </c>
      <c r="T4" s="2">
        <v>1</v>
      </c>
      <c r="U4" s="4">
        <v>45722</v>
      </c>
      <c r="V4" s="84">
        <f t="shared" si="3"/>
        <v>23</v>
      </c>
      <c r="W4" s="2" t="s">
        <v>385</v>
      </c>
      <c r="X4" s="2" t="s">
        <v>36</v>
      </c>
      <c r="Y4" s="7" t="str">
        <f>IF(AND(B4&lt;AC2,S4&lt;60),"고령,신규",IF(AND(B4&lt;$AC$1,S4&gt;=60),"고령",IF(S4&lt;60,"신규","")))</f>
        <v>신규</v>
      </c>
      <c r="Z4" s="126"/>
    </row>
    <row r="5" spans="1:29" ht="143.25" customHeight="1" x14ac:dyDescent="0.3">
      <c r="A5" s="7">
        <v>4</v>
      </c>
      <c r="B5" s="3">
        <v>33715</v>
      </c>
      <c r="C5" s="2" t="s">
        <v>390</v>
      </c>
      <c r="D5" s="7">
        <f t="shared" ca="1" si="0"/>
        <v>33</v>
      </c>
      <c r="E5" s="135">
        <v>45721</v>
      </c>
      <c r="F5" s="8" t="str">
        <f t="shared" si="1"/>
        <v>수</v>
      </c>
      <c r="G5" s="2" t="s">
        <v>35</v>
      </c>
      <c r="H5" s="31" t="s">
        <v>229</v>
      </c>
      <c r="I5" s="31" t="s">
        <v>392</v>
      </c>
      <c r="J5" s="88">
        <v>9000000</v>
      </c>
      <c r="K5" s="89">
        <v>6066687</v>
      </c>
      <c r="L5" s="115">
        <v>6</v>
      </c>
      <c r="M5" s="32" t="s">
        <v>393</v>
      </c>
      <c r="N5" s="32" t="s">
        <v>425</v>
      </c>
      <c r="O5" s="32" t="s">
        <v>394</v>
      </c>
      <c r="P5" s="31" t="s">
        <v>391</v>
      </c>
      <c r="Q5" s="2" t="s">
        <v>334</v>
      </c>
      <c r="R5" s="3">
        <v>45453</v>
      </c>
      <c r="S5" s="15">
        <f t="shared" si="2"/>
        <v>268</v>
      </c>
      <c r="T5" s="2">
        <v>1</v>
      </c>
      <c r="U5" s="4">
        <v>45737</v>
      </c>
      <c r="V5" s="84">
        <f t="shared" si="3"/>
        <v>16</v>
      </c>
      <c r="W5" s="2" t="s">
        <v>385</v>
      </c>
      <c r="X5" s="2" t="s">
        <v>315</v>
      </c>
      <c r="Y5" s="7" t="str">
        <f t="shared" ref="Y5:Y18" si="4">IF(AND(B5&lt;$AC$1,S5&lt;60),"고령,신규",IF(AND(B5&lt;$AC$1,S5&gt;=60),"고령",IF(S5&lt;60,"신규","")))</f>
        <v/>
      </c>
      <c r="Z5" s="126"/>
    </row>
    <row r="6" spans="1:29" ht="132.75" customHeight="1" x14ac:dyDescent="0.3">
      <c r="A6" s="2">
        <v>5</v>
      </c>
      <c r="B6" s="3">
        <v>26667</v>
      </c>
      <c r="C6" s="2" t="s">
        <v>388</v>
      </c>
      <c r="D6" s="7">
        <f t="shared" ca="1" si="0"/>
        <v>53</v>
      </c>
      <c r="E6" s="135">
        <v>45783</v>
      </c>
      <c r="F6" s="8" t="str">
        <f t="shared" si="1"/>
        <v>화</v>
      </c>
      <c r="G6" s="2" t="s">
        <v>35</v>
      </c>
      <c r="H6" s="31" t="s">
        <v>35</v>
      </c>
      <c r="I6" s="31" t="s">
        <v>396</v>
      </c>
      <c r="J6" s="88">
        <v>0</v>
      </c>
      <c r="K6" s="89">
        <v>384570</v>
      </c>
      <c r="L6" s="115">
        <v>6</v>
      </c>
      <c r="M6" s="32" t="s">
        <v>461</v>
      </c>
      <c r="N6" s="32" t="s">
        <v>432</v>
      </c>
      <c r="O6" s="59" t="s">
        <v>460</v>
      </c>
      <c r="P6" s="31" t="s">
        <v>398</v>
      </c>
      <c r="Q6" s="2" t="s">
        <v>397</v>
      </c>
      <c r="R6" s="3">
        <v>45761</v>
      </c>
      <c r="S6" s="15">
        <f t="shared" si="2"/>
        <v>22</v>
      </c>
      <c r="T6" s="2">
        <v>5</v>
      </c>
      <c r="U6" s="4">
        <v>45789</v>
      </c>
      <c r="V6" s="84">
        <f t="shared" si="3"/>
        <v>6</v>
      </c>
      <c r="W6" s="2" t="s">
        <v>84</v>
      </c>
      <c r="X6" s="2" t="s">
        <v>399</v>
      </c>
      <c r="Y6" s="7" t="str">
        <f t="shared" si="4"/>
        <v>신규</v>
      </c>
      <c r="Z6" s="126"/>
    </row>
    <row r="7" spans="1:29" ht="77.25" customHeight="1" x14ac:dyDescent="0.3">
      <c r="A7" s="7">
        <v>6</v>
      </c>
      <c r="B7" s="3">
        <v>29790</v>
      </c>
      <c r="C7" s="2" t="s">
        <v>400</v>
      </c>
      <c r="D7" s="7">
        <f t="shared" ca="1" si="0"/>
        <v>44</v>
      </c>
      <c r="E7" s="135">
        <v>45805</v>
      </c>
      <c r="F7" s="8" t="str">
        <f t="shared" si="1"/>
        <v>수</v>
      </c>
      <c r="G7" s="2" t="s">
        <v>35</v>
      </c>
      <c r="H7" s="31" t="s">
        <v>229</v>
      </c>
      <c r="I7" s="31" t="s">
        <v>402</v>
      </c>
      <c r="J7" s="88">
        <v>0</v>
      </c>
      <c r="K7" s="89">
        <v>153200</v>
      </c>
      <c r="L7" s="115">
        <v>2</v>
      </c>
      <c r="M7" s="32" t="s">
        <v>417</v>
      </c>
      <c r="N7" s="32" t="s">
        <v>420</v>
      </c>
      <c r="O7" s="32" t="s">
        <v>462</v>
      </c>
      <c r="P7" s="31" t="s">
        <v>398</v>
      </c>
      <c r="Q7" s="2" t="s">
        <v>397</v>
      </c>
      <c r="R7" s="3">
        <v>45769</v>
      </c>
      <c r="S7" s="15">
        <f t="shared" si="2"/>
        <v>36</v>
      </c>
      <c r="T7" s="2">
        <v>5</v>
      </c>
      <c r="U7" s="4">
        <v>45813</v>
      </c>
      <c r="V7" s="84">
        <f t="shared" si="3"/>
        <v>8</v>
      </c>
      <c r="W7" s="2" t="s">
        <v>385</v>
      </c>
      <c r="X7" s="2" t="s">
        <v>36</v>
      </c>
      <c r="Y7" s="7" t="str">
        <f t="shared" si="4"/>
        <v>신규</v>
      </c>
      <c r="Z7" s="126"/>
    </row>
    <row r="8" spans="1:29" ht="75" customHeight="1" x14ac:dyDescent="0.3">
      <c r="A8" s="2">
        <v>7</v>
      </c>
      <c r="B8" s="3">
        <v>22853</v>
      </c>
      <c r="C8" s="2" t="s">
        <v>401</v>
      </c>
      <c r="D8" s="7">
        <f t="shared" ca="1" si="0"/>
        <v>63</v>
      </c>
      <c r="E8" s="135">
        <v>45819</v>
      </c>
      <c r="F8" s="8" t="str">
        <f t="shared" si="1"/>
        <v>수</v>
      </c>
      <c r="G8" s="2" t="s">
        <v>35</v>
      </c>
      <c r="H8" s="31" t="s">
        <v>229</v>
      </c>
      <c r="I8" s="31" t="s">
        <v>405</v>
      </c>
      <c r="J8" s="88">
        <v>0</v>
      </c>
      <c r="K8" s="89">
        <v>4700000</v>
      </c>
      <c r="L8" s="115">
        <v>6</v>
      </c>
      <c r="M8" s="32" t="s">
        <v>416</v>
      </c>
      <c r="N8" s="32" t="s">
        <v>440</v>
      </c>
      <c r="O8" s="32" t="s">
        <v>406</v>
      </c>
      <c r="P8" s="31" t="s">
        <v>403</v>
      </c>
      <c r="Q8" s="2" t="s">
        <v>317</v>
      </c>
      <c r="R8" s="3">
        <v>44844</v>
      </c>
      <c r="S8" s="15">
        <f t="shared" si="2"/>
        <v>975</v>
      </c>
      <c r="T8" s="2">
        <v>4</v>
      </c>
      <c r="U8" s="4">
        <v>45819</v>
      </c>
      <c r="V8" s="84">
        <f t="shared" si="3"/>
        <v>0</v>
      </c>
      <c r="W8" s="2" t="s">
        <v>87</v>
      </c>
      <c r="X8" s="2" t="s">
        <v>36</v>
      </c>
      <c r="Y8" s="7" t="str">
        <f t="shared" si="4"/>
        <v>고령</v>
      </c>
      <c r="Z8" s="126"/>
    </row>
    <row r="9" spans="1:29" ht="66" x14ac:dyDescent="0.3">
      <c r="A9" s="7">
        <v>8</v>
      </c>
      <c r="B9" s="3">
        <v>24181</v>
      </c>
      <c r="C9" s="2" t="s">
        <v>408</v>
      </c>
      <c r="D9" s="7">
        <f t="shared" ca="1" si="0"/>
        <v>59</v>
      </c>
      <c r="E9" s="135">
        <v>45825</v>
      </c>
      <c r="F9" s="8" t="str">
        <f t="shared" si="1"/>
        <v>화</v>
      </c>
      <c r="G9" s="2" t="s">
        <v>35</v>
      </c>
      <c r="H9" s="31" t="s">
        <v>229</v>
      </c>
      <c r="I9" s="31" t="s">
        <v>412</v>
      </c>
      <c r="J9" s="88">
        <v>0</v>
      </c>
      <c r="K9" s="89">
        <v>1816400</v>
      </c>
      <c r="L9" s="115">
        <v>4</v>
      </c>
      <c r="M9" s="32" t="s">
        <v>415</v>
      </c>
      <c r="N9" s="32" t="s">
        <v>419</v>
      </c>
      <c r="O9" s="32" t="s">
        <v>409</v>
      </c>
      <c r="P9" s="31" t="s">
        <v>391</v>
      </c>
      <c r="Q9" s="2" t="s">
        <v>334</v>
      </c>
      <c r="R9" s="3">
        <v>45586</v>
      </c>
      <c r="S9" s="15">
        <f t="shared" si="2"/>
        <v>239</v>
      </c>
      <c r="T9" s="2">
        <v>1</v>
      </c>
      <c r="U9" s="4">
        <v>45825</v>
      </c>
      <c r="V9" s="84">
        <f t="shared" si="3"/>
        <v>0</v>
      </c>
      <c r="W9" s="2" t="s">
        <v>84</v>
      </c>
      <c r="X9" s="2" t="s">
        <v>407</v>
      </c>
      <c r="Y9" s="7" t="str">
        <f t="shared" si="4"/>
        <v/>
      </c>
      <c r="Z9" s="126"/>
    </row>
    <row r="10" spans="1:29" ht="75.75" customHeight="1" x14ac:dyDescent="0.3">
      <c r="A10" s="2">
        <v>9</v>
      </c>
      <c r="B10" s="3">
        <v>28199</v>
      </c>
      <c r="C10" s="2" t="s">
        <v>410</v>
      </c>
      <c r="D10" s="7">
        <f t="shared" ca="1" si="0"/>
        <v>48</v>
      </c>
      <c r="E10" s="135">
        <v>45826</v>
      </c>
      <c r="F10" s="8" t="str">
        <f t="shared" si="1"/>
        <v>수</v>
      </c>
      <c r="G10" s="2" t="s">
        <v>35</v>
      </c>
      <c r="H10" s="31" t="s">
        <v>229</v>
      </c>
      <c r="I10" s="31" t="s">
        <v>411</v>
      </c>
      <c r="J10" s="88">
        <v>5100000</v>
      </c>
      <c r="K10" s="89">
        <v>273050</v>
      </c>
      <c r="L10" s="115">
        <v>5</v>
      </c>
      <c r="M10" s="32" t="s">
        <v>413</v>
      </c>
      <c r="N10" s="32" t="s">
        <v>420</v>
      </c>
      <c r="O10" s="32" t="s">
        <v>414</v>
      </c>
      <c r="P10" s="31" t="s">
        <v>391</v>
      </c>
      <c r="Q10" s="2" t="s">
        <v>334</v>
      </c>
      <c r="R10" s="3">
        <v>45789</v>
      </c>
      <c r="S10" s="15">
        <f t="shared" si="2"/>
        <v>37</v>
      </c>
      <c r="T10" s="2">
        <v>1</v>
      </c>
      <c r="U10" s="4">
        <v>45826</v>
      </c>
      <c r="V10" s="84">
        <f t="shared" si="3"/>
        <v>0</v>
      </c>
      <c r="W10" s="2" t="s">
        <v>86</v>
      </c>
      <c r="X10" s="2" t="s">
        <v>36</v>
      </c>
      <c r="Y10" s="7" t="str">
        <f t="shared" si="4"/>
        <v>신규</v>
      </c>
      <c r="Z10" s="126"/>
    </row>
    <row r="11" spans="1:29" ht="50.25" customHeight="1" x14ac:dyDescent="0.3">
      <c r="A11" s="2">
        <v>10</v>
      </c>
      <c r="B11" s="3">
        <v>34254</v>
      </c>
      <c r="C11" s="2" t="s">
        <v>469</v>
      </c>
      <c r="D11" s="7">
        <f t="shared" ca="1" si="0"/>
        <v>32</v>
      </c>
      <c r="E11" s="135">
        <v>45845</v>
      </c>
      <c r="F11" s="136" t="str">
        <f t="shared" si="1"/>
        <v>월</v>
      </c>
      <c r="G11" s="2" t="s">
        <v>467</v>
      </c>
      <c r="H11" s="31" t="s">
        <v>467</v>
      </c>
      <c r="I11" s="31" t="s">
        <v>472</v>
      </c>
      <c r="J11" s="88">
        <v>176000</v>
      </c>
      <c r="K11" s="89">
        <v>274720</v>
      </c>
      <c r="L11" s="115">
        <v>2</v>
      </c>
      <c r="M11" s="32" t="s">
        <v>473</v>
      </c>
      <c r="N11" s="32" t="s">
        <v>419</v>
      </c>
      <c r="O11" s="32" t="s">
        <v>474</v>
      </c>
      <c r="P11" s="31" t="s">
        <v>471</v>
      </c>
      <c r="Q11" s="2" t="s">
        <v>284</v>
      </c>
      <c r="R11" s="3">
        <v>45775</v>
      </c>
      <c r="S11" s="15">
        <f t="shared" si="2"/>
        <v>70</v>
      </c>
      <c r="T11" s="2">
        <v>2</v>
      </c>
      <c r="U11" s="4">
        <v>45846</v>
      </c>
      <c r="V11" s="84">
        <f t="shared" si="3"/>
        <v>1</v>
      </c>
      <c r="W11" s="2" t="s">
        <v>84</v>
      </c>
      <c r="X11" s="2" t="s">
        <v>36</v>
      </c>
      <c r="Y11" s="7" t="str">
        <f t="shared" si="4"/>
        <v/>
      </c>
      <c r="Z11" s="126"/>
    </row>
    <row r="12" spans="1:29" ht="93.75" customHeight="1" x14ac:dyDescent="0.3">
      <c r="A12" s="7">
        <v>12</v>
      </c>
      <c r="B12" s="3">
        <v>36242</v>
      </c>
      <c r="C12" s="2" t="s">
        <v>463</v>
      </c>
      <c r="D12" s="7">
        <f t="shared" ca="1" si="0"/>
        <v>26</v>
      </c>
      <c r="E12" s="135">
        <v>45903</v>
      </c>
      <c r="F12" s="8" t="str">
        <f t="shared" si="1"/>
        <v>수</v>
      </c>
      <c r="G12" s="2" t="s">
        <v>467</v>
      </c>
      <c r="H12" s="31" t="s">
        <v>467</v>
      </c>
      <c r="I12" s="31" t="s">
        <v>468</v>
      </c>
      <c r="J12" s="88">
        <v>0</v>
      </c>
      <c r="K12" s="89">
        <v>0</v>
      </c>
      <c r="L12" s="115">
        <v>2</v>
      </c>
      <c r="M12" s="32" t="s">
        <v>464</v>
      </c>
      <c r="N12" s="32" t="s">
        <v>419</v>
      </c>
      <c r="O12" s="32" t="s">
        <v>465</v>
      </c>
      <c r="P12" s="31" t="s">
        <v>466</v>
      </c>
      <c r="Q12" s="2" t="s">
        <v>189</v>
      </c>
      <c r="R12" s="3">
        <v>44896</v>
      </c>
      <c r="S12" s="15">
        <f t="shared" si="2"/>
        <v>1007</v>
      </c>
      <c r="T12" s="2">
        <v>1</v>
      </c>
      <c r="U12" s="4">
        <v>45903</v>
      </c>
      <c r="V12" s="84">
        <f t="shared" si="3"/>
        <v>0</v>
      </c>
      <c r="W12" s="2" t="s">
        <v>84</v>
      </c>
      <c r="X12" s="2" t="s">
        <v>36</v>
      </c>
      <c r="Y12" s="7" t="str">
        <f t="shared" si="4"/>
        <v/>
      </c>
      <c r="Z12" s="124" t="s">
        <v>484</v>
      </c>
    </row>
    <row r="13" spans="1:29" ht="93.75" customHeight="1" x14ac:dyDescent="0.3">
      <c r="A13" s="7">
        <v>13</v>
      </c>
      <c r="B13" s="3">
        <v>32408</v>
      </c>
      <c r="C13" s="31" t="s">
        <v>475</v>
      </c>
      <c r="D13" s="7">
        <f t="shared" ca="1" si="0"/>
        <v>37</v>
      </c>
      <c r="E13" s="135">
        <v>45908</v>
      </c>
      <c r="F13" s="8" t="str">
        <f t="shared" si="1"/>
        <v>월</v>
      </c>
      <c r="G13" s="31" t="s">
        <v>467</v>
      </c>
      <c r="H13" s="31" t="s">
        <v>467</v>
      </c>
      <c r="I13" s="31" t="s">
        <v>480</v>
      </c>
      <c r="J13" s="88">
        <v>0</v>
      </c>
      <c r="K13" s="89">
        <v>0</v>
      </c>
      <c r="L13" s="115">
        <v>2</v>
      </c>
      <c r="M13" s="32" t="s">
        <v>476</v>
      </c>
      <c r="N13" s="32" t="s">
        <v>419</v>
      </c>
      <c r="O13" s="32" t="s">
        <v>477</v>
      </c>
      <c r="P13" s="31" t="s">
        <v>454</v>
      </c>
      <c r="Q13" s="2" t="s">
        <v>455</v>
      </c>
      <c r="R13" s="3">
        <v>45860</v>
      </c>
      <c r="S13" s="15">
        <f t="shared" si="2"/>
        <v>48</v>
      </c>
      <c r="T13" s="2">
        <v>4</v>
      </c>
      <c r="U13" s="4">
        <v>45908</v>
      </c>
      <c r="V13" s="84">
        <f t="shared" si="3"/>
        <v>0</v>
      </c>
      <c r="W13" s="2" t="s">
        <v>84</v>
      </c>
      <c r="X13" s="2" t="s">
        <v>36</v>
      </c>
      <c r="Y13" s="7" t="str">
        <f t="shared" si="4"/>
        <v>신규</v>
      </c>
      <c r="Z13" s="124"/>
    </row>
    <row r="14" spans="1:29" ht="66" x14ac:dyDescent="0.3">
      <c r="A14" s="7">
        <v>14</v>
      </c>
      <c r="B14" s="3">
        <v>26940</v>
      </c>
      <c r="C14" s="2" t="s">
        <v>498</v>
      </c>
      <c r="D14" s="7">
        <f t="shared" ca="1" si="0"/>
        <v>52</v>
      </c>
      <c r="E14" s="135">
        <v>45958</v>
      </c>
      <c r="F14" s="8" t="str">
        <f t="shared" si="1"/>
        <v>화</v>
      </c>
      <c r="G14" s="2" t="s">
        <v>499</v>
      </c>
      <c r="H14" s="31" t="s">
        <v>487</v>
      </c>
      <c r="I14" s="31" t="s">
        <v>555</v>
      </c>
      <c r="J14" s="88">
        <v>456000</v>
      </c>
      <c r="K14" s="89">
        <v>7562030</v>
      </c>
      <c r="L14" s="115">
        <v>5</v>
      </c>
      <c r="M14" s="32" t="s">
        <v>502</v>
      </c>
      <c r="N14" s="32" t="s">
        <v>503</v>
      </c>
      <c r="O14" s="32" t="s">
        <v>504</v>
      </c>
      <c r="P14" s="31" t="s">
        <v>398</v>
      </c>
      <c r="Q14" s="2" t="s">
        <v>500</v>
      </c>
      <c r="R14" s="3">
        <v>45943</v>
      </c>
      <c r="S14" s="15">
        <f t="shared" si="2"/>
        <v>15</v>
      </c>
      <c r="T14" s="2">
        <v>5</v>
      </c>
      <c r="U14" s="4">
        <v>45959</v>
      </c>
      <c r="V14" s="84">
        <f t="shared" si="3"/>
        <v>1</v>
      </c>
      <c r="W14" s="2" t="s">
        <v>87</v>
      </c>
      <c r="X14" s="2" t="s">
        <v>488</v>
      </c>
      <c r="Y14" s="7" t="str">
        <f t="shared" si="4"/>
        <v>신규</v>
      </c>
      <c r="Z14" s="127" t="s">
        <v>486</v>
      </c>
    </row>
    <row r="15" spans="1:29" ht="49.5" x14ac:dyDescent="0.3">
      <c r="A15" s="7">
        <v>15</v>
      </c>
      <c r="B15" s="3">
        <v>28043</v>
      </c>
      <c r="C15" s="2" t="s">
        <v>478</v>
      </c>
      <c r="D15" s="7">
        <f t="shared" ca="1" si="0"/>
        <v>49</v>
      </c>
      <c r="E15" s="135">
        <v>45960</v>
      </c>
      <c r="F15" s="8" t="str">
        <f t="shared" si="1"/>
        <v>목</v>
      </c>
      <c r="G15" s="2" t="s">
        <v>467</v>
      </c>
      <c r="H15" s="31" t="s">
        <v>467</v>
      </c>
      <c r="I15" s="31" t="s">
        <v>479</v>
      </c>
      <c r="J15" s="88">
        <v>0</v>
      </c>
      <c r="K15" s="89">
        <v>291120</v>
      </c>
      <c r="L15" s="115">
        <v>2</v>
      </c>
      <c r="M15" s="32" t="s">
        <v>481</v>
      </c>
      <c r="N15" s="32" t="s">
        <v>482</v>
      </c>
      <c r="O15" s="32" t="s">
        <v>483</v>
      </c>
      <c r="P15" s="31" t="s">
        <v>454</v>
      </c>
      <c r="Q15" s="2" t="s">
        <v>455</v>
      </c>
      <c r="R15" s="3">
        <v>45873</v>
      </c>
      <c r="S15" s="15">
        <f t="shared" si="2"/>
        <v>87</v>
      </c>
      <c r="T15" s="2">
        <v>4</v>
      </c>
      <c r="U15" s="4">
        <v>45960</v>
      </c>
      <c r="V15" s="84">
        <f t="shared" si="3"/>
        <v>0</v>
      </c>
      <c r="W15" s="2" t="s">
        <v>87</v>
      </c>
      <c r="X15" s="2" t="s">
        <v>488</v>
      </c>
      <c r="Y15" s="7" t="str">
        <f t="shared" si="4"/>
        <v/>
      </c>
      <c r="Z15" s="127"/>
    </row>
    <row r="16" spans="1:29" ht="132.75" customHeight="1" x14ac:dyDescent="0.3">
      <c r="A16" s="7">
        <v>16</v>
      </c>
      <c r="B16" s="3">
        <v>30734</v>
      </c>
      <c r="C16" s="2" t="s">
        <v>489</v>
      </c>
      <c r="D16" s="7">
        <f t="shared" ca="1" si="0"/>
        <v>42</v>
      </c>
      <c r="E16" s="135">
        <v>45982</v>
      </c>
      <c r="F16" s="8" t="str">
        <f t="shared" si="1"/>
        <v>금</v>
      </c>
      <c r="G16" s="2" t="s">
        <v>487</v>
      </c>
      <c r="H16" s="31" t="s">
        <v>487</v>
      </c>
      <c r="I16" s="31" t="s">
        <v>494</v>
      </c>
      <c r="J16" s="88">
        <v>0</v>
      </c>
      <c r="K16" s="89">
        <v>226870</v>
      </c>
      <c r="L16" s="115">
        <v>2</v>
      </c>
      <c r="M16" s="32" t="s">
        <v>490</v>
      </c>
      <c r="N16" s="32" t="s">
        <v>495</v>
      </c>
      <c r="O16" s="32" t="s">
        <v>492</v>
      </c>
      <c r="P16" s="31" t="s">
        <v>454</v>
      </c>
      <c r="Q16" s="2" t="s">
        <v>493</v>
      </c>
      <c r="R16" s="3">
        <v>45901</v>
      </c>
      <c r="S16" s="15">
        <f t="shared" si="2"/>
        <v>81</v>
      </c>
      <c r="T16" s="2">
        <v>4</v>
      </c>
      <c r="U16" s="4">
        <v>45982</v>
      </c>
      <c r="V16" s="84">
        <f t="shared" si="3"/>
        <v>0</v>
      </c>
      <c r="W16" s="2" t="s">
        <v>491</v>
      </c>
      <c r="X16" s="2" t="s">
        <v>496</v>
      </c>
      <c r="Y16" s="7" t="str">
        <f t="shared" si="4"/>
        <v/>
      </c>
      <c r="Z16" s="126"/>
    </row>
    <row r="17" spans="1:26" ht="87.75" customHeight="1" x14ac:dyDescent="0.3">
      <c r="A17" s="2">
        <v>17</v>
      </c>
      <c r="B17" s="3">
        <v>31921</v>
      </c>
      <c r="C17" s="2" t="s">
        <v>505</v>
      </c>
      <c r="D17" s="7">
        <f t="shared" ca="1" si="0"/>
        <v>38</v>
      </c>
      <c r="E17" s="135">
        <v>45992</v>
      </c>
      <c r="F17" s="8" t="str">
        <f t="shared" si="1"/>
        <v>월</v>
      </c>
      <c r="G17" s="2" t="s">
        <v>499</v>
      </c>
      <c r="H17" s="31" t="s">
        <v>487</v>
      </c>
      <c r="I17" s="56" t="s">
        <v>506</v>
      </c>
      <c r="J17" s="88">
        <v>0</v>
      </c>
      <c r="K17" s="89">
        <v>0</v>
      </c>
      <c r="L17" s="115">
        <v>1</v>
      </c>
      <c r="M17" s="33" t="s">
        <v>507</v>
      </c>
      <c r="N17" s="33" t="s">
        <v>503</v>
      </c>
      <c r="O17" s="33" t="s">
        <v>510</v>
      </c>
      <c r="P17" s="31" t="s">
        <v>391</v>
      </c>
      <c r="Q17" s="2" t="s">
        <v>508</v>
      </c>
      <c r="R17" s="3">
        <v>45250</v>
      </c>
      <c r="S17" s="15">
        <f t="shared" si="2"/>
        <v>742</v>
      </c>
      <c r="T17" s="2">
        <v>1</v>
      </c>
      <c r="U17" s="4">
        <v>46003</v>
      </c>
      <c r="V17" s="84">
        <f t="shared" si="3"/>
        <v>11</v>
      </c>
      <c r="W17" s="4" t="s">
        <v>509</v>
      </c>
      <c r="X17" s="2" t="s">
        <v>488</v>
      </c>
      <c r="Y17" s="7" t="str">
        <f t="shared" si="4"/>
        <v/>
      </c>
      <c r="Z17" s="126" t="s">
        <v>497</v>
      </c>
    </row>
    <row r="18" spans="1:26" ht="33" x14ac:dyDescent="0.3">
      <c r="A18" s="7">
        <v>18</v>
      </c>
      <c r="B18" s="3">
        <v>34691</v>
      </c>
      <c r="C18" s="2" t="s">
        <v>521</v>
      </c>
      <c r="D18" s="7">
        <f t="shared" ca="1" si="0"/>
        <v>31</v>
      </c>
      <c r="E18" s="135">
        <v>45905</v>
      </c>
      <c r="F18" s="8" t="str">
        <f t="shared" si="1"/>
        <v>금</v>
      </c>
      <c r="G18" s="2" t="s">
        <v>522</v>
      </c>
      <c r="H18" s="31" t="s">
        <v>522</v>
      </c>
      <c r="I18" s="31" t="s">
        <v>523</v>
      </c>
      <c r="J18" s="88">
        <v>0</v>
      </c>
      <c r="K18" s="89">
        <v>0</v>
      </c>
      <c r="L18" s="115">
        <v>2</v>
      </c>
      <c r="M18" s="32" t="s">
        <v>528</v>
      </c>
      <c r="N18" s="32" t="s">
        <v>419</v>
      </c>
      <c r="O18" s="32"/>
      <c r="P18" s="31" t="s">
        <v>454</v>
      </c>
      <c r="Q18" s="2" t="s">
        <v>526</v>
      </c>
      <c r="R18" s="3">
        <v>45812</v>
      </c>
      <c r="S18" s="15">
        <f t="shared" si="2"/>
        <v>93</v>
      </c>
      <c r="T18" s="2">
        <v>4</v>
      </c>
      <c r="U18" s="4">
        <v>45905</v>
      </c>
      <c r="V18" s="84">
        <f t="shared" si="3"/>
        <v>0</v>
      </c>
      <c r="W18" s="2" t="s">
        <v>533</v>
      </c>
      <c r="X18" s="2">
        <v>18</v>
      </c>
      <c r="Y18" s="7" t="str">
        <f t="shared" si="4"/>
        <v/>
      </c>
      <c r="Z18" s="126" t="s">
        <v>501</v>
      </c>
    </row>
    <row r="19" spans="1:26" ht="33" x14ac:dyDescent="0.3">
      <c r="A19" s="2">
        <v>19</v>
      </c>
      <c r="B19" s="3">
        <v>36493</v>
      </c>
      <c r="C19" s="31" t="s">
        <v>524</v>
      </c>
      <c r="D19" s="7">
        <f t="shared" ca="1" si="0"/>
        <v>26</v>
      </c>
      <c r="E19" s="135">
        <v>45931</v>
      </c>
      <c r="F19" s="8" t="str">
        <f t="shared" si="1"/>
        <v>수</v>
      </c>
      <c r="G19" s="31" t="s">
        <v>132</v>
      </c>
      <c r="H19" s="31" t="s">
        <v>132</v>
      </c>
      <c r="I19" s="31" t="s">
        <v>525</v>
      </c>
      <c r="J19" s="88">
        <v>0</v>
      </c>
      <c r="K19" s="89">
        <v>0</v>
      </c>
      <c r="L19" s="115">
        <v>2</v>
      </c>
      <c r="M19" s="32" t="s">
        <v>527</v>
      </c>
      <c r="N19" s="32" t="s">
        <v>419</v>
      </c>
      <c r="O19" s="32"/>
      <c r="P19" s="31" t="s">
        <v>454</v>
      </c>
      <c r="Q19" s="2" t="s">
        <v>455</v>
      </c>
      <c r="R19" s="3">
        <v>45901</v>
      </c>
      <c r="S19" s="15">
        <f t="shared" ref="S19" si="5">IF((E19-R19)=0,"",(E19-R19))</f>
        <v>30</v>
      </c>
      <c r="T19" s="2">
        <v>4</v>
      </c>
      <c r="U19" s="4">
        <v>45931</v>
      </c>
      <c r="V19" s="84">
        <f t="shared" ref="V19" si="6">U19-E19</f>
        <v>0</v>
      </c>
      <c r="W19" s="2" t="s">
        <v>532</v>
      </c>
      <c r="X19" s="2">
        <v>12</v>
      </c>
      <c r="Y19" s="7"/>
      <c r="Z19" s="126"/>
    </row>
    <row r="20" spans="1:26" ht="50.25" customHeight="1" x14ac:dyDescent="0.3">
      <c r="A20" s="2">
        <v>20</v>
      </c>
      <c r="B20" s="3">
        <v>28382</v>
      </c>
      <c r="C20" s="2" t="s">
        <v>529</v>
      </c>
      <c r="D20" s="7">
        <f t="shared" ref="D20" ca="1" si="7">IF(B20="x","",(YEAR($K$1)-YEAR(B20)-(TEXT($K$1,"MMDD")&lt;TEXT(B20,"MMDD"))))</f>
        <v>48</v>
      </c>
      <c r="E20" s="135">
        <v>46055</v>
      </c>
      <c r="F20" s="8" t="str">
        <f t="shared" ref="F20" si="8">IF(E20="","",(CHOOSE(WEEKDAY(E20),"일","월","화","수","목","금","토")))</f>
        <v>월</v>
      </c>
      <c r="G20" s="2" t="s">
        <v>467</v>
      </c>
      <c r="H20" s="31" t="s">
        <v>467</v>
      </c>
      <c r="I20" s="129" t="s">
        <v>556</v>
      </c>
      <c r="J20" s="88">
        <v>0</v>
      </c>
      <c r="K20" s="89">
        <v>608340</v>
      </c>
      <c r="L20" s="115" t="s">
        <v>132</v>
      </c>
      <c r="M20" s="32" t="s">
        <v>531</v>
      </c>
      <c r="N20" s="32" t="s">
        <v>439</v>
      </c>
      <c r="O20" s="32"/>
      <c r="P20" s="31" t="s">
        <v>454</v>
      </c>
      <c r="Q20" s="2" t="s">
        <v>455</v>
      </c>
      <c r="R20" s="3">
        <v>46043</v>
      </c>
      <c r="S20" s="15">
        <f t="shared" ref="S20" si="9">IF((E20-R20)=0,"",(E20-R20))</f>
        <v>12</v>
      </c>
      <c r="T20" s="2">
        <v>4</v>
      </c>
      <c r="U20" s="4">
        <v>46056</v>
      </c>
      <c r="V20" s="84">
        <f t="shared" ref="V20" si="10">U20-E20</f>
        <v>1</v>
      </c>
      <c r="W20" s="2" t="s">
        <v>87</v>
      </c>
      <c r="X20" s="2">
        <v>14</v>
      </c>
      <c r="Y20" s="7" t="str">
        <f t="shared" ref="Y20" si="11">IF(AND(B20&lt;$AC$1,S20&lt;60),"고령,신규",IF(AND(B20&lt;$AC$1,S20&gt;=60),"고령",IF(S20&lt;60,"신규","")))</f>
        <v>신규</v>
      </c>
      <c r="Z20" s="126"/>
    </row>
    <row r="21" spans="1:26" ht="50.25" customHeight="1" x14ac:dyDescent="0.3">
      <c r="A21" s="7">
        <v>25</v>
      </c>
      <c r="B21" s="15" t="s">
        <v>132</v>
      </c>
      <c r="C21" s="15"/>
      <c r="D21" s="7" t="str">
        <f t="shared" si="0"/>
        <v/>
      </c>
      <c r="E21" s="135"/>
      <c r="F21" s="8" t="str">
        <f t="shared" si="1"/>
        <v/>
      </c>
      <c r="G21" s="15"/>
      <c r="H21" s="34"/>
      <c r="I21" s="34"/>
      <c r="J21" s="90"/>
      <c r="K21" s="91"/>
      <c r="L21" s="114"/>
      <c r="M21" s="35"/>
      <c r="N21" s="35"/>
      <c r="O21" s="35"/>
      <c r="P21" s="34"/>
      <c r="Q21" s="15"/>
      <c r="R21" s="17"/>
      <c r="S21" s="15" t="str">
        <f t="shared" ref="S21:S32" si="12">IF((E21-R21)=0,"",(E21-R21))</f>
        <v/>
      </c>
      <c r="T21" s="15"/>
      <c r="U21" s="73"/>
      <c r="V21" s="84">
        <f t="shared" ref="V21:V32" si="13">U21-E21</f>
        <v>0</v>
      </c>
      <c r="W21" s="15"/>
      <c r="X21" s="15"/>
      <c r="Y21" s="7" t="str">
        <f t="shared" ref="Y21:Y31" si="14">IF(AND(B21&lt;$AC$1,S21&lt;60),"고령,신규",IF(AND(B21&lt;$AC$1,S21&gt;=60),"고령",IF(S21&lt;60,"신규","")))</f>
        <v/>
      </c>
      <c r="Z21" s="126"/>
    </row>
    <row r="22" spans="1:26" ht="50.25" customHeight="1" x14ac:dyDescent="0.3">
      <c r="A22" s="2">
        <v>26</v>
      </c>
      <c r="B22" s="15" t="s">
        <v>132</v>
      </c>
      <c r="C22" s="15"/>
      <c r="D22" s="7" t="str">
        <f t="shared" si="0"/>
        <v/>
      </c>
      <c r="E22" s="135"/>
      <c r="F22" s="8" t="str">
        <f t="shared" si="1"/>
        <v/>
      </c>
      <c r="G22" s="15"/>
      <c r="H22" s="34"/>
      <c r="I22" s="34"/>
      <c r="J22" s="90"/>
      <c r="K22" s="91"/>
      <c r="L22" s="114"/>
      <c r="M22" s="35"/>
      <c r="N22" s="35"/>
      <c r="O22" s="35"/>
      <c r="P22" s="34"/>
      <c r="Q22" s="15"/>
      <c r="R22" s="17"/>
      <c r="S22" s="15" t="str">
        <f t="shared" si="12"/>
        <v/>
      </c>
      <c r="T22" s="15"/>
      <c r="U22" s="73"/>
      <c r="V22" s="84">
        <f t="shared" si="13"/>
        <v>0</v>
      </c>
      <c r="W22" s="15"/>
      <c r="X22" s="15"/>
      <c r="Y22" s="7" t="str">
        <f t="shared" si="14"/>
        <v/>
      </c>
      <c r="Z22" s="126"/>
    </row>
    <row r="23" spans="1:26" ht="50.25" customHeight="1" x14ac:dyDescent="0.3">
      <c r="A23" s="7">
        <v>27</v>
      </c>
      <c r="B23" s="15" t="s">
        <v>132</v>
      </c>
      <c r="C23" s="15"/>
      <c r="D23" s="7" t="str">
        <f t="shared" si="0"/>
        <v/>
      </c>
      <c r="E23" s="135"/>
      <c r="F23" s="8" t="str">
        <f t="shared" si="1"/>
        <v/>
      </c>
      <c r="G23" s="15"/>
      <c r="H23" s="34"/>
      <c r="I23" s="34"/>
      <c r="J23" s="90"/>
      <c r="K23" s="91"/>
      <c r="L23" s="114"/>
      <c r="M23" s="35"/>
      <c r="N23" s="35"/>
      <c r="O23" s="35"/>
      <c r="P23" s="34"/>
      <c r="Q23" s="15"/>
      <c r="R23" s="17"/>
      <c r="S23" s="15" t="str">
        <f t="shared" si="12"/>
        <v/>
      </c>
      <c r="T23" s="15"/>
      <c r="U23" s="73"/>
      <c r="V23" s="84">
        <f t="shared" si="13"/>
        <v>0</v>
      </c>
      <c r="W23" s="15"/>
      <c r="X23" s="15"/>
      <c r="Y23" s="7" t="str">
        <f t="shared" si="14"/>
        <v/>
      </c>
      <c r="Z23" s="126"/>
    </row>
    <row r="24" spans="1:26" ht="50.25" customHeight="1" x14ac:dyDescent="0.3">
      <c r="A24" s="2">
        <v>28</v>
      </c>
      <c r="B24" s="15" t="s">
        <v>132</v>
      </c>
      <c r="C24" s="15"/>
      <c r="D24" s="7" t="str">
        <f t="shared" si="0"/>
        <v/>
      </c>
      <c r="E24" s="135"/>
      <c r="F24" s="8" t="str">
        <f t="shared" si="1"/>
        <v/>
      </c>
      <c r="G24" s="15"/>
      <c r="H24" s="34"/>
      <c r="I24" s="34"/>
      <c r="J24" s="90"/>
      <c r="K24" s="91"/>
      <c r="L24" s="114"/>
      <c r="M24" s="35"/>
      <c r="N24" s="35"/>
      <c r="O24" s="35"/>
      <c r="P24" s="34"/>
      <c r="Q24" s="15"/>
      <c r="R24" s="74"/>
      <c r="S24" s="15" t="str">
        <f t="shared" si="12"/>
        <v/>
      </c>
      <c r="T24" s="15"/>
      <c r="U24" s="73"/>
      <c r="V24" s="84">
        <f t="shared" si="13"/>
        <v>0</v>
      </c>
      <c r="W24" s="15"/>
      <c r="X24" s="15"/>
      <c r="Y24" s="7" t="str">
        <f t="shared" si="14"/>
        <v/>
      </c>
      <c r="Z24" s="126"/>
    </row>
    <row r="25" spans="1:26" ht="50.25" customHeight="1" x14ac:dyDescent="0.3">
      <c r="A25" s="7">
        <v>29</v>
      </c>
      <c r="B25" s="15" t="s">
        <v>132</v>
      </c>
      <c r="C25" s="15"/>
      <c r="D25" s="7" t="str">
        <f t="shared" si="0"/>
        <v/>
      </c>
      <c r="E25" s="135"/>
      <c r="F25" s="8" t="str">
        <f t="shared" si="1"/>
        <v/>
      </c>
      <c r="G25" s="15"/>
      <c r="H25" s="34"/>
      <c r="I25" s="34"/>
      <c r="J25" s="90"/>
      <c r="K25" s="91"/>
      <c r="L25" s="114"/>
      <c r="M25" s="35"/>
      <c r="N25" s="35"/>
      <c r="O25" s="35"/>
      <c r="P25" s="34"/>
      <c r="Q25" s="15"/>
      <c r="R25" s="74"/>
      <c r="S25" s="15" t="str">
        <f t="shared" si="12"/>
        <v/>
      </c>
      <c r="T25" s="15"/>
      <c r="U25" s="73"/>
      <c r="V25" s="84">
        <f t="shared" si="13"/>
        <v>0</v>
      </c>
      <c r="W25" s="15"/>
      <c r="X25" s="15"/>
      <c r="Y25" s="7" t="str">
        <f t="shared" si="14"/>
        <v/>
      </c>
      <c r="Z25" s="126"/>
    </row>
    <row r="26" spans="1:26" ht="50.25" customHeight="1" x14ac:dyDescent="0.3">
      <c r="A26" s="2">
        <v>30</v>
      </c>
      <c r="B26" s="15" t="s">
        <v>132</v>
      </c>
      <c r="C26" s="15"/>
      <c r="D26" s="7" t="str">
        <f t="shared" si="0"/>
        <v/>
      </c>
      <c r="E26" s="135"/>
      <c r="F26" s="8" t="str">
        <f t="shared" si="1"/>
        <v/>
      </c>
      <c r="G26" s="15"/>
      <c r="H26" s="34"/>
      <c r="I26" s="34"/>
      <c r="J26" s="90"/>
      <c r="K26" s="91"/>
      <c r="L26" s="114"/>
      <c r="M26" s="35"/>
      <c r="N26" s="35"/>
      <c r="O26" s="35"/>
      <c r="P26" s="34"/>
      <c r="Q26" s="15"/>
      <c r="R26" s="74"/>
      <c r="S26" s="15" t="str">
        <f t="shared" si="12"/>
        <v/>
      </c>
      <c r="T26" s="15"/>
      <c r="U26" s="73"/>
      <c r="V26" s="84">
        <f t="shared" si="13"/>
        <v>0</v>
      </c>
      <c r="W26" s="15"/>
      <c r="X26" s="15"/>
      <c r="Y26" s="7" t="str">
        <f t="shared" si="14"/>
        <v/>
      </c>
      <c r="Z26" s="126"/>
    </row>
    <row r="27" spans="1:26" ht="50.25" customHeight="1" x14ac:dyDescent="0.3">
      <c r="A27" s="7">
        <v>31</v>
      </c>
      <c r="B27" s="15" t="s">
        <v>132</v>
      </c>
      <c r="C27" s="15"/>
      <c r="D27" s="7" t="str">
        <f t="shared" si="0"/>
        <v/>
      </c>
      <c r="E27" s="135"/>
      <c r="F27" s="8" t="str">
        <f t="shared" si="1"/>
        <v/>
      </c>
      <c r="G27" s="15"/>
      <c r="H27" s="34"/>
      <c r="I27" s="34"/>
      <c r="J27" s="90"/>
      <c r="K27" s="91"/>
      <c r="L27" s="114"/>
      <c r="M27" s="35"/>
      <c r="N27" s="35"/>
      <c r="O27" s="35"/>
      <c r="P27" s="34"/>
      <c r="Q27" s="15"/>
      <c r="R27" s="74"/>
      <c r="S27" s="15" t="str">
        <f t="shared" si="12"/>
        <v/>
      </c>
      <c r="T27" s="15"/>
      <c r="U27" s="73"/>
      <c r="V27" s="84">
        <f t="shared" si="13"/>
        <v>0</v>
      </c>
      <c r="W27" s="15"/>
      <c r="X27" s="15"/>
      <c r="Y27" s="7" t="str">
        <f t="shared" si="14"/>
        <v/>
      </c>
      <c r="Z27" s="126"/>
    </row>
    <row r="28" spans="1:26" ht="66" customHeight="1" x14ac:dyDescent="0.3">
      <c r="A28" s="2">
        <v>32</v>
      </c>
      <c r="B28" s="15" t="s">
        <v>132</v>
      </c>
      <c r="C28" s="15"/>
      <c r="D28" s="7" t="str">
        <f t="shared" si="0"/>
        <v/>
      </c>
      <c r="E28" s="135"/>
      <c r="F28" s="8" t="str">
        <f t="shared" si="1"/>
        <v/>
      </c>
      <c r="G28" s="15"/>
      <c r="H28" s="34"/>
      <c r="I28" s="34"/>
      <c r="J28" s="90"/>
      <c r="K28" s="91"/>
      <c r="L28" s="114"/>
      <c r="M28" s="35"/>
      <c r="N28" s="35"/>
      <c r="O28" s="35"/>
      <c r="P28" s="34"/>
      <c r="Q28" s="15"/>
      <c r="R28" s="74"/>
      <c r="S28" s="15" t="str">
        <f t="shared" si="12"/>
        <v/>
      </c>
      <c r="T28" s="15"/>
      <c r="U28" s="73"/>
      <c r="V28" s="84">
        <f t="shared" si="13"/>
        <v>0</v>
      </c>
      <c r="W28" s="15"/>
      <c r="X28" s="15"/>
      <c r="Y28" s="7" t="str">
        <f t="shared" si="14"/>
        <v/>
      </c>
      <c r="Z28" s="126"/>
    </row>
    <row r="29" spans="1:26" ht="100.5" customHeight="1" x14ac:dyDescent="0.3">
      <c r="A29" s="7">
        <v>33</v>
      </c>
      <c r="B29" s="15" t="s">
        <v>132</v>
      </c>
      <c r="C29" s="15"/>
      <c r="D29" s="7" t="str">
        <f t="shared" si="0"/>
        <v/>
      </c>
      <c r="E29" s="135"/>
      <c r="F29" s="8" t="str">
        <f t="shared" si="1"/>
        <v/>
      </c>
      <c r="G29" s="15"/>
      <c r="H29" s="34"/>
      <c r="I29" s="34"/>
      <c r="J29" s="90"/>
      <c r="K29" s="91"/>
      <c r="L29" s="114"/>
      <c r="M29" s="35"/>
      <c r="N29" s="35"/>
      <c r="O29" s="35"/>
      <c r="P29" s="34"/>
      <c r="Q29" s="15"/>
      <c r="R29" s="74"/>
      <c r="S29" s="15" t="str">
        <f t="shared" si="12"/>
        <v/>
      </c>
      <c r="T29" s="15"/>
      <c r="U29" s="73"/>
      <c r="V29" s="84">
        <f t="shared" si="13"/>
        <v>0</v>
      </c>
      <c r="W29" s="15"/>
      <c r="X29" s="15"/>
      <c r="Y29" s="7" t="str">
        <f t="shared" si="14"/>
        <v/>
      </c>
      <c r="Z29" s="126"/>
    </row>
    <row r="30" spans="1:26" ht="50.25" customHeight="1" x14ac:dyDescent="0.3">
      <c r="A30" s="2"/>
      <c r="B30" s="15" t="s">
        <v>132</v>
      </c>
      <c r="C30" s="15"/>
      <c r="D30" s="7" t="str">
        <f t="shared" si="0"/>
        <v/>
      </c>
      <c r="E30" s="135"/>
      <c r="F30" s="8" t="str">
        <f t="shared" si="1"/>
        <v/>
      </c>
      <c r="G30" s="15"/>
      <c r="H30" s="34"/>
      <c r="I30" s="34"/>
      <c r="J30" s="90"/>
      <c r="K30" s="91"/>
      <c r="L30" s="114"/>
      <c r="M30" s="35"/>
      <c r="N30" s="35"/>
      <c r="O30" s="35"/>
      <c r="P30" s="34"/>
      <c r="Q30" s="15"/>
      <c r="R30" s="74"/>
      <c r="S30" s="15" t="str">
        <f t="shared" si="12"/>
        <v/>
      </c>
      <c r="T30" s="15"/>
      <c r="U30" s="73"/>
      <c r="V30" s="84">
        <f t="shared" si="13"/>
        <v>0</v>
      </c>
      <c r="W30" s="15"/>
      <c r="X30" s="15"/>
      <c r="Y30" s="7" t="str">
        <f t="shared" si="14"/>
        <v/>
      </c>
      <c r="Z30" s="126"/>
    </row>
    <row r="31" spans="1:26" ht="50.25" customHeight="1" x14ac:dyDescent="0.3">
      <c r="A31" s="2"/>
      <c r="B31" s="15" t="s">
        <v>132</v>
      </c>
      <c r="C31" s="15"/>
      <c r="D31" s="7" t="str">
        <f t="shared" si="0"/>
        <v/>
      </c>
      <c r="E31" s="135"/>
      <c r="F31" s="8" t="str">
        <f t="shared" si="1"/>
        <v/>
      </c>
      <c r="G31" s="15"/>
      <c r="H31" s="34"/>
      <c r="I31" s="34"/>
      <c r="J31" s="90"/>
      <c r="K31" s="91"/>
      <c r="L31" s="114"/>
      <c r="M31" s="35"/>
      <c r="N31" s="35"/>
      <c r="O31" s="35"/>
      <c r="P31" s="34"/>
      <c r="Q31" s="15"/>
      <c r="R31" s="17"/>
      <c r="S31" s="15" t="str">
        <f t="shared" si="12"/>
        <v/>
      </c>
      <c r="T31" s="15"/>
      <c r="U31" s="73"/>
      <c r="V31" s="84">
        <f t="shared" si="13"/>
        <v>0</v>
      </c>
      <c r="W31" s="15"/>
      <c r="X31" s="15"/>
      <c r="Y31" s="7" t="str">
        <f t="shared" si="14"/>
        <v/>
      </c>
      <c r="Z31" s="126"/>
    </row>
    <row r="32" spans="1:26" ht="50.25" customHeight="1" x14ac:dyDescent="0.3">
      <c r="A32" s="70" t="s">
        <v>216</v>
      </c>
      <c r="B32" s="71"/>
      <c r="C32" s="71"/>
      <c r="D32" s="71"/>
      <c r="E32" s="71"/>
      <c r="F32" s="71"/>
      <c r="G32" s="71"/>
      <c r="H32" s="71"/>
      <c r="I32" s="72"/>
      <c r="J32" s="92"/>
      <c r="K32" s="93">
        <f>SUM(K3:K31)</f>
        <v>22706667</v>
      </c>
      <c r="L32" s="114"/>
      <c r="M32" s="82" t="s">
        <v>373</v>
      </c>
      <c r="N32" s="82"/>
      <c r="O32" s="35"/>
      <c r="P32" s="34"/>
      <c r="Q32" s="15"/>
      <c r="R32" s="17"/>
      <c r="S32" s="15" t="str">
        <f t="shared" si="12"/>
        <v/>
      </c>
      <c r="T32" s="15"/>
      <c r="U32" s="15"/>
      <c r="V32" s="84">
        <f t="shared" si="13"/>
        <v>0</v>
      </c>
      <c r="W32" s="15"/>
      <c r="X32" s="15"/>
      <c r="Y32" s="7" t="str">
        <f>IF(AND(B32&lt;AC30,S32&lt;60),"고령,신규",IF(AND(B32&lt;AC30,S32&gt;=60),"고령",IF(S32&lt;60,"신규","")))</f>
        <v/>
      </c>
      <c r="Z32" s="128"/>
    </row>
    <row r="33" spans="1:26" ht="18.75" customHeight="1" x14ac:dyDescent="0.3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118"/>
      <c r="Q33" s="68"/>
      <c r="R33" s="68"/>
      <c r="S33" s="68"/>
      <c r="T33" s="68"/>
      <c r="U33" s="68"/>
      <c r="V33" s="68"/>
      <c r="W33" s="69"/>
      <c r="X33" s="18"/>
      <c r="Y33" s="68"/>
    </row>
    <row r="34" spans="1:26" ht="17.25" customHeight="1" x14ac:dyDescent="0.3">
      <c r="A34" s="13" t="s">
        <v>378</v>
      </c>
      <c r="E34" s="24"/>
      <c r="F34" s="24"/>
      <c r="I34" s="36"/>
      <c r="J34" s="36"/>
      <c r="K34" s="37"/>
      <c r="L34" s="37"/>
      <c r="M34" s="38" t="s">
        <v>137</v>
      </c>
      <c r="N34" s="38"/>
      <c r="O34" s="38"/>
      <c r="P34" s="119" t="s">
        <v>366</v>
      </c>
      <c r="Q34" s="80" t="s">
        <v>368</v>
      </c>
      <c r="R34" s="81" t="s">
        <v>377</v>
      </c>
      <c r="S34" s="36"/>
      <c r="T34" s="1"/>
      <c r="U34" s="1"/>
      <c r="W34"/>
      <c r="X34"/>
      <c r="Y34" s="39"/>
    </row>
    <row r="35" spans="1:26" ht="18.75" customHeight="1" x14ac:dyDescent="0.35">
      <c r="A35" s="19" t="s">
        <v>92</v>
      </c>
      <c r="B35" s="19"/>
      <c r="C35" s="19"/>
      <c r="D35" s="19"/>
      <c r="E35" s="57"/>
      <c r="F35" s="57"/>
      <c r="G35" s="11"/>
      <c r="H35" s="58">
        <f>SUM(H36:H39)</f>
        <v>0</v>
      </c>
      <c r="M35" s="38"/>
      <c r="N35" s="38"/>
      <c r="O35" s="38"/>
      <c r="P35" s="120" t="s">
        <v>84</v>
      </c>
      <c r="Q35" s="78">
        <v>14</v>
      </c>
      <c r="R35" s="78">
        <f>COUNTIFS($W$3:$W$32,P35)</f>
        <v>6</v>
      </c>
      <c r="S35" s="1"/>
      <c r="T35" s="1"/>
      <c r="W35"/>
      <c r="X35"/>
    </row>
    <row r="36" spans="1:26" ht="18.95" customHeight="1" x14ac:dyDescent="0.3">
      <c r="A36" s="19" t="s">
        <v>112</v>
      </c>
      <c r="B36" s="19"/>
      <c r="C36" s="19"/>
      <c r="D36" s="19"/>
      <c r="E36" s="57"/>
      <c r="F36" s="57"/>
      <c r="G36" s="11"/>
      <c r="H36" s="58"/>
      <c r="M36" s="26" t="s">
        <v>113</v>
      </c>
      <c r="N36" s="26"/>
      <c r="O36" s="26"/>
      <c r="P36" s="121" t="s">
        <v>85</v>
      </c>
      <c r="Q36" s="79">
        <v>3</v>
      </c>
      <c r="R36" s="79">
        <f>COUNTIFS($W$3:$W$32,P36)</f>
        <v>0</v>
      </c>
      <c r="S36" s="1"/>
      <c r="T36" s="1"/>
      <c r="W36"/>
      <c r="X36"/>
    </row>
    <row r="37" spans="1:26" s="1" customFormat="1" ht="18.95" customHeight="1" x14ac:dyDescent="0.3">
      <c r="A37" s="19" t="s">
        <v>91</v>
      </c>
      <c r="B37" s="19"/>
      <c r="C37" s="19"/>
      <c r="D37" s="19"/>
      <c r="E37" s="57"/>
      <c r="F37" s="57"/>
      <c r="G37" s="11"/>
      <c r="H37" s="58"/>
      <c r="I37" s="23"/>
      <c r="J37" s="23"/>
      <c r="M37" s="26" t="s">
        <v>114</v>
      </c>
      <c r="N37" s="26"/>
      <c r="O37" s="26"/>
      <c r="P37" s="121" t="s">
        <v>86</v>
      </c>
      <c r="Q37" s="79">
        <v>1</v>
      </c>
      <c r="R37" s="79">
        <f>COUNTIFS($W$3:$W$32,P37)</f>
        <v>2</v>
      </c>
      <c r="Z37" s="125"/>
    </row>
    <row r="38" spans="1:26" s="1" customFormat="1" ht="18.95" customHeight="1" x14ac:dyDescent="0.3">
      <c r="A38" s="19" t="s">
        <v>90</v>
      </c>
      <c r="B38" s="19"/>
      <c r="C38" s="19"/>
      <c r="D38" s="19"/>
      <c r="E38" s="57"/>
      <c r="F38" s="57"/>
      <c r="G38" s="11"/>
      <c r="H38" s="58"/>
      <c r="I38" s="23"/>
      <c r="J38" s="23"/>
      <c r="M38" s="40"/>
      <c r="N38" s="40"/>
      <c r="O38" s="40"/>
      <c r="P38" s="121" t="s">
        <v>238</v>
      </c>
      <c r="Q38" s="79">
        <v>1</v>
      </c>
      <c r="R38" s="79">
        <f>COUNTIFS($W$3:$W$32,P38)</f>
        <v>0</v>
      </c>
      <c r="Z38" s="125"/>
    </row>
    <row r="39" spans="1:26" s="1" customFormat="1" ht="18.95" customHeight="1" x14ac:dyDescent="0.3">
      <c r="A39" s="64" t="s">
        <v>93</v>
      </c>
      <c r="B39" s="65"/>
      <c r="C39" s="66"/>
      <c r="D39" s="66"/>
      <c r="E39" s="57"/>
      <c r="F39" s="57"/>
      <c r="G39" s="63"/>
      <c r="H39" s="58"/>
      <c r="I39" s="23"/>
      <c r="J39" s="23"/>
      <c r="M39" s="26" t="s">
        <v>115</v>
      </c>
      <c r="N39" s="26"/>
      <c r="O39" s="26"/>
      <c r="P39" s="121" t="s">
        <v>87</v>
      </c>
      <c r="Q39" s="79">
        <v>2</v>
      </c>
      <c r="R39" s="79">
        <f>COUNTIFS($W$3:$W$32,P39)</f>
        <v>4</v>
      </c>
      <c r="Z39" s="125"/>
    </row>
    <row r="40" spans="1:26" s="1" customFormat="1" ht="18.95" customHeight="1" x14ac:dyDescent="0.3">
      <c r="E40" s="25"/>
      <c r="F40" s="25"/>
      <c r="I40" s="23"/>
      <c r="J40" s="23"/>
      <c r="P40" s="121" t="s">
        <v>327</v>
      </c>
      <c r="Q40" s="79">
        <v>1</v>
      </c>
      <c r="R40" s="79">
        <f>COUNTIFS($W$3:$W$32,P40)</f>
        <v>0</v>
      </c>
      <c r="S40" s="23"/>
      <c r="Z40" s="125"/>
    </row>
    <row r="41" spans="1:26" ht="20.25" x14ac:dyDescent="0.3">
      <c r="E41" s="24"/>
      <c r="F41" s="24"/>
      <c r="P41" s="121" t="s">
        <v>299</v>
      </c>
      <c r="Q41" s="79">
        <v>2</v>
      </c>
      <c r="R41" s="79">
        <f>COUNTIFS($W$3:$W$32,P41)</f>
        <v>0</v>
      </c>
      <c r="S41" s="14"/>
      <c r="T41" s="1"/>
      <c r="U41" s="1"/>
      <c r="W41"/>
      <c r="X41"/>
    </row>
    <row r="42" spans="1:26" ht="20.25" x14ac:dyDescent="0.3">
      <c r="E42" s="24"/>
      <c r="F42" s="24"/>
      <c r="P42" s="121" t="s">
        <v>365</v>
      </c>
      <c r="Q42" s="79">
        <v>1</v>
      </c>
      <c r="R42" s="79">
        <f>COUNTIFS($W$3:$W$32,P42)</f>
        <v>0</v>
      </c>
    </row>
    <row r="43" spans="1:26" ht="20.25" x14ac:dyDescent="0.3">
      <c r="E43" s="24"/>
      <c r="F43" s="24"/>
      <c r="P43" s="121" t="s">
        <v>364</v>
      </c>
      <c r="Q43" s="79">
        <v>5</v>
      </c>
      <c r="R43" s="79">
        <f>COUNTIFS($W$3:$W$32,P43)</f>
        <v>0</v>
      </c>
    </row>
    <row r="44" spans="1:26" ht="20.25" x14ac:dyDescent="0.3">
      <c r="E44" s="24"/>
      <c r="F44" s="24"/>
      <c r="P44" s="121" t="s">
        <v>290</v>
      </c>
      <c r="Q44" s="79">
        <v>1</v>
      </c>
      <c r="R44" s="79">
        <f>COUNTIFS($W$3:$W$32,P44)</f>
        <v>0</v>
      </c>
    </row>
    <row r="45" spans="1:26" ht="20.25" x14ac:dyDescent="0.3">
      <c r="E45" s="24"/>
      <c r="F45" s="24"/>
      <c r="P45" s="121" t="s">
        <v>367</v>
      </c>
      <c r="Q45" s="79">
        <f>SUM(Q35:Q44)</f>
        <v>31</v>
      </c>
      <c r="R45" s="79">
        <f>SUM(R35:R44)</f>
        <v>12</v>
      </c>
    </row>
    <row r="46" spans="1:26" x14ac:dyDescent="0.3">
      <c r="E46" s="24"/>
      <c r="F46" s="24"/>
    </row>
    <row r="47" spans="1:26" x14ac:dyDescent="0.3">
      <c r="E47" s="24"/>
      <c r="F47" s="24"/>
    </row>
    <row r="48" spans="1:26" x14ac:dyDescent="0.3">
      <c r="E48" s="24"/>
      <c r="F48" s="24"/>
    </row>
    <row r="49" spans="5:6" x14ac:dyDescent="0.3">
      <c r="E49" s="24"/>
      <c r="F49" s="24"/>
    </row>
    <row r="50" spans="5:6" x14ac:dyDescent="0.3">
      <c r="E50" s="24"/>
      <c r="F50" s="24"/>
    </row>
    <row r="51" spans="5:6" x14ac:dyDescent="0.3">
      <c r="E51" s="24"/>
      <c r="F51" s="24"/>
    </row>
    <row r="52" spans="5:6" x14ac:dyDescent="0.3">
      <c r="E52" s="24"/>
      <c r="F52" s="24"/>
    </row>
    <row r="53" spans="5:6" x14ac:dyDescent="0.3">
      <c r="E53" s="24"/>
      <c r="F53" s="24"/>
    </row>
    <row r="54" spans="5:6" x14ac:dyDescent="0.3">
      <c r="E54" s="24"/>
      <c r="F54" s="24"/>
    </row>
    <row r="55" spans="5:6" x14ac:dyDescent="0.3">
      <c r="E55" s="24"/>
      <c r="F55" s="24"/>
    </row>
    <row r="56" spans="5:6" x14ac:dyDescent="0.3">
      <c r="E56" s="24"/>
      <c r="F56" s="24"/>
    </row>
    <row r="57" spans="5:6" x14ac:dyDescent="0.3">
      <c r="E57" s="24"/>
      <c r="F57" s="24"/>
    </row>
    <row r="58" spans="5:6" x14ac:dyDescent="0.3">
      <c r="E58" s="24"/>
      <c r="F58" s="24"/>
    </row>
    <row r="59" spans="5:6" x14ac:dyDescent="0.3">
      <c r="E59" s="24"/>
      <c r="F59" s="24"/>
    </row>
    <row r="60" spans="5:6" x14ac:dyDescent="0.3">
      <c r="E60" s="24"/>
      <c r="F60" s="24"/>
    </row>
    <row r="61" spans="5:6" x14ac:dyDescent="0.3">
      <c r="E61" s="24"/>
      <c r="F61" s="24"/>
    </row>
    <row r="62" spans="5:6" x14ac:dyDescent="0.3">
      <c r="E62" s="24"/>
      <c r="F62" s="24"/>
    </row>
    <row r="63" spans="5:6" x14ac:dyDescent="0.3">
      <c r="E63" s="24"/>
      <c r="F63" s="24"/>
    </row>
    <row r="64" spans="5:6" x14ac:dyDescent="0.3">
      <c r="E64" s="24"/>
      <c r="F64" s="24"/>
    </row>
    <row r="65" spans="5:6" x14ac:dyDescent="0.3">
      <c r="E65" s="24"/>
      <c r="F65" s="24"/>
    </row>
    <row r="66" spans="5:6" x14ac:dyDescent="0.3">
      <c r="E66" s="24"/>
      <c r="F66" s="24"/>
    </row>
    <row r="67" spans="5:6" x14ac:dyDescent="0.3">
      <c r="E67" s="24"/>
      <c r="F67" s="24"/>
    </row>
    <row r="68" spans="5:6" x14ac:dyDescent="0.3">
      <c r="E68" s="24"/>
      <c r="F68" s="24"/>
    </row>
    <row r="69" spans="5:6" x14ac:dyDescent="0.3">
      <c r="E69" s="24"/>
      <c r="F69" s="24"/>
    </row>
    <row r="70" spans="5:6" x14ac:dyDescent="0.3">
      <c r="E70" s="24"/>
      <c r="F70" s="24"/>
    </row>
    <row r="71" spans="5:6" x14ac:dyDescent="0.3">
      <c r="E71" s="24"/>
      <c r="F71" s="24"/>
    </row>
    <row r="72" spans="5:6" x14ac:dyDescent="0.3">
      <c r="E72" s="24"/>
      <c r="F72" s="24"/>
    </row>
    <row r="73" spans="5:6" x14ac:dyDescent="0.3">
      <c r="E73" s="24"/>
      <c r="F73" s="24"/>
    </row>
    <row r="74" spans="5:6" x14ac:dyDescent="0.3">
      <c r="E74" s="24"/>
      <c r="F74" s="24"/>
    </row>
    <row r="75" spans="5:6" x14ac:dyDescent="0.3">
      <c r="E75" s="24"/>
      <c r="F75" s="24"/>
    </row>
    <row r="76" spans="5:6" x14ac:dyDescent="0.3">
      <c r="E76" s="24"/>
      <c r="F76" s="24"/>
    </row>
    <row r="77" spans="5:6" x14ac:dyDescent="0.3">
      <c r="E77" s="24"/>
      <c r="F77" s="24"/>
    </row>
  </sheetData>
  <autoFilter ref="A2:Y32" xr:uid="{D4B4DA04-45D3-4FE9-A1BF-FBAF30293A2A}">
    <sortState xmlns:xlrd2="http://schemas.microsoft.com/office/spreadsheetml/2017/richdata2" ref="A3:Y32">
      <sortCondition ref="E2:E32"/>
    </sortState>
  </autoFilter>
  <mergeCells count="1">
    <mergeCell ref="K1:L1"/>
  </mergeCells>
  <phoneticPr fontId="1" type="noConversion"/>
  <conditionalFormatting sqref="B3:B31">
    <cfRule type="cellIs" dxfId="33" priority="8" operator="lessThan">
      <formula>$AC$1</formula>
    </cfRule>
  </conditionalFormatting>
  <conditionalFormatting sqref="H3:H31">
    <cfRule type="containsText" dxfId="32" priority="6" operator="containsText" text="O">
      <formula>NOT(ISERROR(SEARCH("O",H3)))</formula>
    </cfRule>
  </conditionalFormatting>
  <conditionalFormatting sqref="L3:L31">
    <cfRule type="cellIs" dxfId="31" priority="2" operator="greaterThan">
      <formula>5</formula>
    </cfRule>
  </conditionalFormatting>
  <conditionalFormatting sqref="S3:S32">
    <cfRule type="cellIs" dxfId="30" priority="7" operator="lessThan">
      <formula>64</formula>
    </cfRule>
  </conditionalFormatting>
  <conditionalFormatting sqref="V3:V32">
    <cfRule type="cellIs" dxfId="29" priority="5" operator="greaterThan">
      <formula>1</formula>
    </cfRule>
  </conditionalFormatting>
  <conditionalFormatting sqref="Y3:Y32">
    <cfRule type="containsText" dxfId="28" priority="3" operator="containsText" text="신규">
      <formula>NOT(ISERROR(SEARCH("신규",Y3)))</formula>
    </cfRule>
    <cfRule type="containsText" dxfId="27" priority="4" operator="containsText" text="고령">
      <formula>NOT(ISERROR(SEARCH("고령",Y3)))</formula>
    </cfRule>
  </conditionalFormatting>
  <pageMargins left="0" right="0" top="0.43307086614173229" bottom="0.15748031496062992" header="0.19685039370078741" footer="0.11811023622047245"/>
  <pageSetup paperSize="9" scale="42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4A11-ADB9-405E-A035-C68E0FEFB816}">
  <sheetPr>
    <tabColor rgb="FFFF0000"/>
    <pageSetUpPr fitToPage="1"/>
  </sheetPr>
  <dimension ref="A1:AC60"/>
  <sheetViews>
    <sheetView showGridLines="0" tabSelected="1" zoomScale="70" zoomScaleNormal="70" workbookViewId="0">
      <pane ySplit="2" topLeftCell="A3" activePane="bottomLeft" state="frozen"/>
      <selection pane="bottomLeft" activeCell="D7" sqref="D7"/>
    </sheetView>
  </sheetViews>
  <sheetFormatPr defaultRowHeight="16.5" x14ac:dyDescent="0.3"/>
  <cols>
    <col min="1" max="1" width="5.125" customWidth="1"/>
    <col min="2" max="2" width="11.75" customWidth="1"/>
    <col min="5" max="5" width="9.25" customWidth="1"/>
    <col min="6" max="6" width="5.5" customWidth="1"/>
    <col min="7" max="7" width="7" customWidth="1"/>
    <col min="9" max="10" width="15.25" style="14" customWidth="1"/>
    <col min="11" max="11" width="14.125" style="1" customWidth="1"/>
    <col min="12" max="12" width="6.625" style="1" customWidth="1"/>
    <col min="13" max="13" width="45.25" customWidth="1"/>
    <col min="14" max="14" width="20.75" customWidth="1"/>
    <col min="15" max="15" width="29.75" customWidth="1"/>
    <col min="16" max="16" width="17.875" style="122" bestFit="1" customWidth="1"/>
    <col min="17" max="17" width="13" bestFit="1" customWidth="1"/>
    <col min="18" max="18" width="11" customWidth="1"/>
    <col min="19" max="19" width="8.375" customWidth="1"/>
    <col min="20" max="20" width="5.25" customWidth="1"/>
    <col min="21" max="21" width="10.125" customWidth="1"/>
    <col min="22" max="22" width="11.875" customWidth="1"/>
    <col min="23" max="23" width="8" style="14" customWidth="1"/>
    <col min="24" max="24" width="7.125" style="1" customWidth="1"/>
    <col min="25" max="25" width="7" style="1" customWidth="1"/>
    <col min="26" max="26" width="27" style="125" customWidth="1"/>
    <col min="29" max="29" width="12.25" bestFit="1" customWidth="1"/>
  </cols>
  <sheetData>
    <row r="1" spans="1:29" ht="25.5" customHeight="1" x14ac:dyDescent="0.3">
      <c r="A1" s="50" t="s">
        <v>404</v>
      </c>
      <c r="B1" s="50"/>
      <c r="C1" s="50"/>
      <c r="D1" s="50"/>
      <c r="E1" s="50"/>
      <c r="F1" s="50"/>
      <c r="G1" s="50"/>
      <c r="H1" s="50"/>
      <c r="I1" s="50"/>
      <c r="J1" s="130" t="s">
        <v>513</v>
      </c>
      <c r="K1" s="141">
        <f ca="1">TODAY()</f>
        <v>46078</v>
      </c>
      <c r="L1" s="141"/>
      <c r="M1" s="50"/>
      <c r="N1" s="50"/>
      <c r="O1" s="50"/>
      <c r="P1" s="117"/>
      <c r="Q1" s="50"/>
      <c r="R1" s="50"/>
      <c r="S1" s="50"/>
      <c r="T1" s="50"/>
      <c r="U1" s="50"/>
      <c r="V1" s="50"/>
      <c r="W1" s="50"/>
      <c r="X1" s="50"/>
      <c r="Y1" s="50"/>
      <c r="AC1" s="83">
        <v>23742</v>
      </c>
    </row>
    <row r="2" spans="1:29" s="1" customFormat="1" ht="37.5" customHeight="1" x14ac:dyDescent="0.3">
      <c r="A2" s="11" t="s">
        <v>26</v>
      </c>
      <c r="B2" s="11" t="s">
        <v>32</v>
      </c>
      <c r="C2" s="11" t="s">
        <v>27</v>
      </c>
      <c r="D2" s="11" t="s">
        <v>511</v>
      </c>
      <c r="E2" s="12" t="s">
        <v>30</v>
      </c>
      <c r="F2" s="12" t="s">
        <v>512</v>
      </c>
      <c r="G2" s="12" t="s">
        <v>281</v>
      </c>
      <c r="H2" s="11" t="s">
        <v>210</v>
      </c>
      <c r="I2" s="11" t="s">
        <v>301</v>
      </c>
      <c r="J2" s="12" t="s">
        <v>470</v>
      </c>
      <c r="K2" s="12" t="s">
        <v>376</v>
      </c>
      <c r="L2" s="12" t="s">
        <v>456</v>
      </c>
      <c r="M2" s="11" t="s">
        <v>126</v>
      </c>
      <c r="N2" s="11" t="s">
        <v>438</v>
      </c>
      <c r="O2" s="11" t="s">
        <v>207</v>
      </c>
      <c r="P2" s="12" t="s">
        <v>28</v>
      </c>
      <c r="Q2" s="11" t="s">
        <v>31</v>
      </c>
      <c r="R2" s="11" t="s">
        <v>33</v>
      </c>
      <c r="S2" s="12" t="s">
        <v>38</v>
      </c>
      <c r="T2" s="12" t="s">
        <v>94</v>
      </c>
      <c r="U2" s="12" t="s">
        <v>249</v>
      </c>
      <c r="V2" s="11" t="s">
        <v>384</v>
      </c>
      <c r="W2" s="11" t="s">
        <v>83</v>
      </c>
      <c r="X2" s="11" t="s">
        <v>37</v>
      </c>
      <c r="Y2" s="12" t="s">
        <v>119</v>
      </c>
      <c r="Z2" s="123" t="s">
        <v>485</v>
      </c>
    </row>
    <row r="3" spans="1:29" ht="50.25" customHeight="1" x14ac:dyDescent="0.3">
      <c r="A3" s="2">
        <v>1</v>
      </c>
      <c r="B3" s="3">
        <v>28382</v>
      </c>
      <c r="C3" s="2" t="s">
        <v>529</v>
      </c>
      <c r="D3" s="7">
        <f t="shared" ref="D3:D14" ca="1" si="0">IF(B3="x","",(YEAR($K$1)-YEAR(B3)-(TEXT($K$1,"MMDD")&lt;TEXT(B3,"MMDD"))))</f>
        <v>48</v>
      </c>
      <c r="E3" s="135">
        <v>46055</v>
      </c>
      <c r="F3" s="8" t="str">
        <f t="shared" ref="F3:F14" si="1">IF(E3="","",(CHOOSE(WEEKDAY(E3),"일","월","화","수","목","금","토")))</f>
        <v>월</v>
      </c>
      <c r="G3" s="2" t="s">
        <v>467</v>
      </c>
      <c r="H3" s="31" t="s">
        <v>467</v>
      </c>
      <c r="I3" s="129" t="s">
        <v>556</v>
      </c>
      <c r="J3" s="88">
        <v>0</v>
      </c>
      <c r="K3" s="89">
        <v>608340</v>
      </c>
      <c r="L3" s="115" t="s">
        <v>132</v>
      </c>
      <c r="M3" s="32" t="s">
        <v>531</v>
      </c>
      <c r="N3" s="32" t="s">
        <v>439</v>
      </c>
      <c r="O3" s="32" t="s">
        <v>563</v>
      </c>
      <c r="P3" s="31" t="s">
        <v>454</v>
      </c>
      <c r="Q3" s="2" t="s">
        <v>455</v>
      </c>
      <c r="R3" s="3">
        <v>46043</v>
      </c>
      <c r="S3" s="15">
        <f t="shared" ref="S3:S15" si="2">IF((E3-R3)=0,"",(E3-R3))</f>
        <v>12</v>
      </c>
      <c r="T3" s="2">
        <v>4</v>
      </c>
      <c r="U3" s="4">
        <v>46056</v>
      </c>
      <c r="V3" s="84">
        <f t="shared" ref="V3:V15" si="3">U3-E3</f>
        <v>1</v>
      </c>
      <c r="W3" s="2" t="s">
        <v>87</v>
      </c>
      <c r="X3" s="2">
        <v>14</v>
      </c>
      <c r="Y3" s="7" t="str">
        <f t="shared" ref="Y3:Y14" si="4">IF(AND(B3&lt;$AC$1,S3&lt;60),"고령,신규",IF(AND(B3&lt;$AC$1,S3&gt;=60),"고령",IF(S3&lt;60,"신규","")))</f>
        <v>신규</v>
      </c>
      <c r="Z3" s="126"/>
    </row>
    <row r="4" spans="1:29" ht="50.25" customHeight="1" x14ac:dyDescent="0.3">
      <c r="A4" s="7">
        <v>2</v>
      </c>
      <c r="B4" s="17">
        <v>29850</v>
      </c>
      <c r="C4" s="15" t="s">
        <v>318</v>
      </c>
      <c r="D4" s="7">
        <f t="shared" ca="1" si="0"/>
        <v>44</v>
      </c>
      <c r="E4" s="135">
        <v>46059</v>
      </c>
      <c r="F4" s="8" t="str">
        <f t="shared" si="1"/>
        <v>금</v>
      </c>
      <c r="G4" s="15"/>
      <c r="H4" s="34" t="s">
        <v>132</v>
      </c>
      <c r="I4" s="34" t="s">
        <v>557</v>
      </c>
      <c r="J4" s="90">
        <v>0</v>
      </c>
      <c r="K4" s="91"/>
      <c r="L4" s="114">
        <v>4</v>
      </c>
      <c r="M4" s="35" t="s">
        <v>558</v>
      </c>
      <c r="N4" s="35" t="s">
        <v>439</v>
      </c>
      <c r="O4" s="35" t="s">
        <v>562</v>
      </c>
      <c r="P4" s="34" t="s">
        <v>559</v>
      </c>
      <c r="Q4" s="15" t="s">
        <v>319</v>
      </c>
      <c r="R4" s="17">
        <v>45852</v>
      </c>
      <c r="S4" s="15">
        <f t="shared" si="2"/>
        <v>207</v>
      </c>
      <c r="T4" s="15">
        <v>1</v>
      </c>
      <c r="U4" s="73">
        <v>46059</v>
      </c>
      <c r="V4" s="84">
        <f t="shared" si="3"/>
        <v>0</v>
      </c>
      <c r="W4" s="15" t="s">
        <v>365</v>
      </c>
      <c r="X4" s="15" t="s">
        <v>36</v>
      </c>
      <c r="Y4" s="7" t="str">
        <f t="shared" si="4"/>
        <v/>
      </c>
      <c r="Z4" s="126"/>
    </row>
    <row r="5" spans="1:29" ht="50.25" customHeight="1" x14ac:dyDescent="0.3">
      <c r="A5" s="2">
        <v>3</v>
      </c>
      <c r="B5" s="17">
        <v>34679</v>
      </c>
      <c r="C5" s="15" t="s">
        <v>560</v>
      </c>
      <c r="D5" s="7">
        <f t="shared" ca="1" si="0"/>
        <v>31</v>
      </c>
      <c r="E5" s="135">
        <v>46060</v>
      </c>
      <c r="F5" s="8" t="str">
        <f t="shared" si="1"/>
        <v>토</v>
      </c>
      <c r="G5" s="15" t="s">
        <v>132</v>
      </c>
      <c r="H5" s="34" t="s">
        <v>132</v>
      </c>
      <c r="I5" s="34" t="s">
        <v>561</v>
      </c>
      <c r="J5" s="90">
        <v>0</v>
      </c>
      <c r="K5" s="91">
        <v>70970</v>
      </c>
      <c r="L5" s="114">
        <v>2</v>
      </c>
      <c r="M5" s="35" t="s">
        <v>564</v>
      </c>
      <c r="N5" s="35" t="s">
        <v>419</v>
      </c>
      <c r="O5" s="35" t="s">
        <v>565</v>
      </c>
      <c r="P5" s="34" t="s">
        <v>454</v>
      </c>
      <c r="Q5" s="15" t="s">
        <v>455</v>
      </c>
      <c r="R5" s="17">
        <v>45978</v>
      </c>
      <c r="S5" s="15">
        <f t="shared" si="2"/>
        <v>82</v>
      </c>
      <c r="T5" s="15">
        <v>4</v>
      </c>
      <c r="U5" s="73">
        <v>46060</v>
      </c>
      <c r="V5" s="84">
        <f t="shared" si="3"/>
        <v>0</v>
      </c>
      <c r="W5" s="15" t="s">
        <v>86</v>
      </c>
      <c r="X5" s="15">
        <v>2</v>
      </c>
      <c r="Y5" s="7" t="str">
        <f t="shared" si="4"/>
        <v/>
      </c>
      <c r="Z5" s="126"/>
    </row>
    <row r="6" spans="1:29" ht="50.25" customHeight="1" x14ac:dyDescent="0.3">
      <c r="A6" s="7">
        <v>4</v>
      </c>
      <c r="B6" s="17">
        <v>36895</v>
      </c>
      <c r="C6" s="15" t="s">
        <v>566</v>
      </c>
      <c r="D6" s="7">
        <f t="shared" ca="1" si="0"/>
        <v>25</v>
      </c>
      <c r="E6" s="135">
        <v>46073</v>
      </c>
      <c r="F6" s="8" t="str">
        <f t="shared" si="1"/>
        <v>금</v>
      </c>
      <c r="G6" s="15" t="s">
        <v>132</v>
      </c>
      <c r="H6" s="34" t="s">
        <v>132</v>
      </c>
      <c r="I6" s="34" t="s">
        <v>561</v>
      </c>
      <c r="J6" s="90">
        <v>0</v>
      </c>
      <c r="K6" s="91">
        <f>67540+14050</f>
        <v>81590</v>
      </c>
      <c r="L6" s="114">
        <v>2</v>
      </c>
      <c r="M6" s="35" t="s">
        <v>569</v>
      </c>
      <c r="N6" s="35" t="s">
        <v>567</v>
      </c>
      <c r="O6" s="35" t="s">
        <v>568</v>
      </c>
      <c r="P6" s="34" t="s">
        <v>454</v>
      </c>
      <c r="Q6" s="15" t="s">
        <v>455</v>
      </c>
      <c r="R6" s="17">
        <v>45980</v>
      </c>
      <c r="S6" s="15">
        <f t="shared" si="2"/>
        <v>93</v>
      </c>
      <c r="T6" s="15">
        <v>4</v>
      </c>
      <c r="U6" s="73">
        <v>46073</v>
      </c>
      <c r="V6" s="84">
        <f t="shared" si="3"/>
        <v>0</v>
      </c>
      <c r="W6" s="15" t="s">
        <v>87</v>
      </c>
      <c r="X6" s="15" t="s">
        <v>36</v>
      </c>
      <c r="Y6" s="7" t="str">
        <f t="shared" si="4"/>
        <v/>
      </c>
      <c r="Z6" s="126"/>
    </row>
    <row r="7" spans="1:29" ht="50.25" customHeight="1" x14ac:dyDescent="0.3">
      <c r="A7" s="2">
        <v>5</v>
      </c>
      <c r="B7" s="15" t="s">
        <v>132</v>
      </c>
      <c r="C7" s="15"/>
      <c r="D7" s="7" t="str">
        <f t="shared" si="0"/>
        <v/>
      </c>
      <c r="E7" s="135"/>
      <c r="F7" s="8" t="str">
        <f t="shared" si="1"/>
        <v/>
      </c>
      <c r="G7" s="15"/>
      <c r="H7" s="34"/>
      <c r="I7" s="34"/>
      <c r="J7" s="90"/>
      <c r="K7" s="91"/>
      <c r="L7" s="114"/>
      <c r="M7" s="35"/>
      <c r="N7" s="35"/>
      <c r="O7" s="35"/>
      <c r="P7" s="34"/>
      <c r="Q7" s="15"/>
      <c r="R7" s="74"/>
      <c r="S7" s="15" t="str">
        <f t="shared" si="2"/>
        <v/>
      </c>
      <c r="T7" s="15"/>
      <c r="U7" s="73"/>
      <c r="V7" s="84">
        <f t="shared" si="3"/>
        <v>0</v>
      </c>
      <c r="W7" s="15"/>
      <c r="X7" s="15"/>
      <c r="Y7" s="7" t="str">
        <f t="shared" si="4"/>
        <v/>
      </c>
      <c r="Z7" s="126"/>
    </row>
    <row r="8" spans="1:29" ht="50.25" customHeight="1" x14ac:dyDescent="0.3">
      <c r="A8" s="7">
        <v>6</v>
      </c>
      <c r="B8" s="15" t="s">
        <v>132</v>
      </c>
      <c r="C8" s="15"/>
      <c r="D8" s="7" t="str">
        <f t="shared" si="0"/>
        <v/>
      </c>
      <c r="E8" s="135"/>
      <c r="F8" s="8" t="str">
        <f t="shared" si="1"/>
        <v/>
      </c>
      <c r="G8" s="15"/>
      <c r="H8" s="34"/>
      <c r="I8" s="34"/>
      <c r="J8" s="90"/>
      <c r="K8" s="91"/>
      <c r="L8" s="114"/>
      <c r="M8" s="35"/>
      <c r="N8" s="35"/>
      <c r="O8" s="35"/>
      <c r="P8" s="34"/>
      <c r="Q8" s="15"/>
      <c r="R8" s="74"/>
      <c r="S8" s="15" t="str">
        <f t="shared" si="2"/>
        <v/>
      </c>
      <c r="T8" s="15"/>
      <c r="U8" s="73"/>
      <c r="V8" s="84">
        <f t="shared" si="3"/>
        <v>0</v>
      </c>
      <c r="W8" s="15"/>
      <c r="X8" s="15"/>
      <c r="Y8" s="7" t="str">
        <f t="shared" si="4"/>
        <v/>
      </c>
      <c r="Z8" s="126"/>
    </row>
    <row r="9" spans="1:29" ht="50.25" customHeight="1" x14ac:dyDescent="0.3">
      <c r="A9" s="2">
        <v>7</v>
      </c>
      <c r="B9" s="15" t="s">
        <v>132</v>
      </c>
      <c r="C9" s="15"/>
      <c r="D9" s="7" t="str">
        <f t="shared" si="0"/>
        <v/>
      </c>
      <c r="E9" s="135"/>
      <c r="F9" s="8" t="str">
        <f t="shared" si="1"/>
        <v/>
      </c>
      <c r="G9" s="15"/>
      <c r="H9" s="34"/>
      <c r="I9" s="34"/>
      <c r="J9" s="90"/>
      <c r="K9" s="91"/>
      <c r="L9" s="114"/>
      <c r="M9" s="35"/>
      <c r="N9" s="35"/>
      <c r="O9" s="35"/>
      <c r="P9" s="34"/>
      <c r="Q9" s="15"/>
      <c r="R9" s="74"/>
      <c r="S9" s="15" t="str">
        <f t="shared" si="2"/>
        <v/>
      </c>
      <c r="T9" s="15"/>
      <c r="U9" s="73"/>
      <c r="V9" s="84">
        <f t="shared" si="3"/>
        <v>0</v>
      </c>
      <c r="W9" s="15"/>
      <c r="X9" s="15"/>
      <c r="Y9" s="7" t="str">
        <f t="shared" si="4"/>
        <v/>
      </c>
      <c r="Z9" s="126"/>
    </row>
    <row r="10" spans="1:29" ht="50.25" customHeight="1" x14ac:dyDescent="0.3">
      <c r="A10" s="7">
        <v>8</v>
      </c>
      <c r="B10" s="15" t="s">
        <v>132</v>
      </c>
      <c r="C10" s="15"/>
      <c r="D10" s="7" t="str">
        <f t="shared" si="0"/>
        <v/>
      </c>
      <c r="E10" s="135"/>
      <c r="F10" s="8" t="str">
        <f t="shared" si="1"/>
        <v/>
      </c>
      <c r="G10" s="15"/>
      <c r="H10" s="34"/>
      <c r="I10" s="34"/>
      <c r="J10" s="90"/>
      <c r="K10" s="91"/>
      <c r="L10" s="114"/>
      <c r="M10" s="35"/>
      <c r="N10" s="35"/>
      <c r="O10" s="35"/>
      <c r="P10" s="34"/>
      <c r="Q10" s="15"/>
      <c r="R10" s="74"/>
      <c r="S10" s="15" t="str">
        <f t="shared" si="2"/>
        <v/>
      </c>
      <c r="T10" s="15"/>
      <c r="U10" s="73"/>
      <c r="V10" s="84">
        <f t="shared" si="3"/>
        <v>0</v>
      </c>
      <c r="W10" s="15"/>
      <c r="X10" s="15"/>
      <c r="Y10" s="7" t="str">
        <f t="shared" si="4"/>
        <v/>
      </c>
      <c r="Z10" s="126"/>
    </row>
    <row r="11" spans="1:29" ht="66" customHeight="1" x14ac:dyDescent="0.3">
      <c r="A11" s="2">
        <v>9</v>
      </c>
      <c r="B11" s="15" t="s">
        <v>132</v>
      </c>
      <c r="C11" s="15"/>
      <c r="D11" s="7" t="str">
        <f t="shared" si="0"/>
        <v/>
      </c>
      <c r="E11" s="135"/>
      <c r="F11" s="8" t="str">
        <f t="shared" si="1"/>
        <v/>
      </c>
      <c r="G11" s="15"/>
      <c r="H11" s="34"/>
      <c r="I11" s="34"/>
      <c r="J11" s="90"/>
      <c r="K11" s="91"/>
      <c r="L11" s="114"/>
      <c r="M11" s="35"/>
      <c r="N11" s="35"/>
      <c r="O11" s="35"/>
      <c r="P11" s="34"/>
      <c r="Q11" s="15"/>
      <c r="R11" s="74"/>
      <c r="S11" s="15" t="str">
        <f t="shared" si="2"/>
        <v/>
      </c>
      <c r="T11" s="15"/>
      <c r="U11" s="73"/>
      <c r="V11" s="84">
        <f t="shared" si="3"/>
        <v>0</v>
      </c>
      <c r="W11" s="15"/>
      <c r="X11" s="15"/>
      <c r="Y11" s="7" t="str">
        <f t="shared" si="4"/>
        <v/>
      </c>
      <c r="Z11" s="126"/>
    </row>
    <row r="12" spans="1:29" ht="100.5" customHeight="1" x14ac:dyDescent="0.3">
      <c r="A12" s="7">
        <v>10</v>
      </c>
      <c r="B12" s="15" t="s">
        <v>132</v>
      </c>
      <c r="C12" s="15"/>
      <c r="D12" s="7" t="str">
        <f t="shared" si="0"/>
        <v/>
      </c>
      <c r="E12" s="135"/>
      <c r="F12" s="8" t="str">
        <f t="shared" si="1"/>
        <v/>
      </c>
      <c r="G12" s="15"/>
      <c r="H12" s="34"/>
      <c r="I12" s="34"/>
      <c r="J12" s="90"/>
      <c r="K12" s="91"/>
      <c r="L12" s="114"/>
      <c r="M12" s="35"/>
      <c r="N12" s="35"/>
      <c r="O12" s="35"/>
      <c r="P12" s="34"/>
      <c r="Q12" s="15"/>
      <c r="R12" s="74"/>
      <c r="S12" s="15" t="str">
        <f t="shared" si="2"/>
        <v/>
      </c>
      <c r="T12" s="15"/>
      <c r="U12" s="73"/>
      <c r="V12" s="84">
        <f t="shared" si="3"/>
        <v>0</v>
      </c>
      <c r="W12" s="15"/>
      <c r="X12" s="15"/>
      <c r="Y12" s="7" t="str">
        <f t="shared" si="4"/>
        <v/>
      </c>
      <c r="Z12" s="126"/>
    </row>
    <row r="13" spans="1:29" ht="50.25" customHeight="1" x14ac:dyDescent="0.3">
      <c r="A13" s="2">
        <v>11</v>
      </c>
      <c r="B13" s="15" t="s">
        <v>132</v>
      </c>
      <c r="C13" s="15"/>
      <c r="D13" s="7" t="str">
        <f t="shared" si="0"/>
        <v/>
      </c>
      <c r="E13" s="135"/>
      <c r="F13" s="8" t="str">
        <f t="shared" si="1"/>
        <v/>
      </c>
      <c r="G13" s="15"/>
      <c r="H13" s="34"/>
      <c r="I13" s="34"/>
      <c r="J13" s="90"/>
      <c r="K13" s="91"/>
      <c r="L13" s="114"/>
      <c r="M13" s="35"/>
      <c r="N13" s="35"/>
      <c r="O13" s="35"/>
      <c r="P13" s="34"/>
      <c r="Q13" s="15"/>
      <c r="R13" s="74"/>
      <c r="S13" s="15" t="str">
        <f t="shared" si="2"/>
        <v/>
      </c>
      <c r="T13" s="15"/>
      <c r="U13" s="73"/>
      <c r="V13" s="84">
        <f t="shared" si="3"/>
        <v>0</v>
      </c>
      <c r="W13" s="15"/>
      <c r="X13" s="15"/>
      <c r="Y13" s="7" t="str">
        <f t="shared" si="4"/>
        <v/>
      </c>
      <c r="Z13" s="126"/>
    </row>
    <row r="14" spans="1:29" ht="50.25" customHeight="1" x14ac:dyDescent="0.3">
      <c r="A14" s="7">
        <v>12</v>
      </c>
      <c r="B14" s="15" t="s">
        <v>132</v>
      </c>
      <c r="C14" s="15"/>
      <c r="D14" s="7" t="str">
        <f t="shared" si="0"/>
        <v/>
      </c>
      <c r="E14" s="135"/>
      <c r="F14" s="8" t="str">
        <f t="shared" si="1"/>
        <v/>
      </c>
      <c r="G14" s="15"/>
      <c r="H14" s="34"/>
      <c r="I14" s="34"/>
      <c r="J14" s="90"/>
      <c r="K14" s="91"/>
      <c r="L14" s="114"/>
      <c r="M14" s="35"/>
      <c r="N14" s="35"/>
      <c r="O14" s="35"/>
      <c r="P14" s="34"/>
      <c r="Q14" s="15"/>
      <c r="R14" s="17"/>
      <c r="S14" s="15" t="str">
        <f t="shared" si="2"/>
        <v/>
      </c>
      <c r="T14" s="15"/>
      <c r="U14" s="73"/>
      <c r="V14" s="84">
        <f t="shared" si="3"/>
        <v>0</v>
      </c>
      <c r="W14" s="15"/>
      <c r="X14" s="15"/>
      <c r="Y14" s="7" t="str">
        <f t="shared" si="4"/>
        <v/>
      </c>
      <c r="Z14" s="126"/>
    </row>
    <row r="15" spans="1:29" ht="50.25" customHeight="1" x14ac:dyDescent="0.3">
      <c r="A15" s="70" t="s">
        <v>216</v>
      </c>
      <c r="B15" s="71"/>
      <c r="C15" s="71"/>
      <c r="D15" s="71"/>
      <c r="E15" s="71"/>
      <c r="F15" s="71"/>
      <c r="G15" s="71"/>
      <c r="H15" s="71"/>
      <c r="I15" s="72"/>
      <c r="J15" s="92"/>
      <c r="K15" s="93">
        <f>SUM(K3:K14)</f>
        <v>760900</v>
      </c>
      <c r="L15" s="114"/>
      <c r="M15" s="82" t="s">
        <v>373</v>
      </c>
      <c r="N15" s="82"/>
      <c r="O15" s="35"/>
      <c r="P15" s="34"/>
      <c r="Q15" s="15"/>
      <c r="R15" s="17"/>
      <c r="S15" s="15" t="str">
        <f t="shared" si="2"/>
        <v/>
      </c>
      <c r="T15" s="15"/>
      <c r="U15" s="15"/>
      <c r="V15" s="84">
        <f t="shared" si="3"/>
        <v>0</v>
      </c>
      <c r="W15" s="15"/>
      <c r="X15" s="15"/>
      <c r="Y15" s="7" t="str">
        <f>IF(AND(B15&lt;AC13,S15&lt;60),"고령,신규",IF(AND(B15&lt;AC13,S15&gt;=60),"고령",IF(S15&lt;60,"신규","")))</f>
        <v/>
      </c>
      <c r="Z15" s="128"/>
    </row>
    <row r="16" spans="1:29" ht="18.75" customHeight="1" x14ac:dyDescent="0.3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118"/>
      <c r="Q16" s="68"/>
      <c r="R16" s="68"/>
      <c r="S16" s="68"/>
      <c r="T16" s="68"/>
      <c r="U16" s="68"/>
      <c r="V16" s="68"/>
      <c r="W16" s="69"/>
      <c r="X16" s="18"/>
      <c r="Y16" s="68"/>
    </row>
    <row r="17" spans="1:26" ht="17.25" customHeight="1" x14ac:dyDescent="0.3">
      <c r="A17" s="13" t="s">
        <v>378</v>
      </c>
      <c r="E17" s="24"/>
      <c r="F17" s="24"/>
      <c r="I17" s="36"/>
      <c r="J17" s="36"/>
      <c r="K17" s="37"/>
      <c r="L17" s="37"/>
      <c r="M17" s="38" t="s">
        <v>137</v>
      </c>
      <c r="N17" s="38"/>
      <c r="O17" s="38"/>
      <c r="P17" s="119" t="s">
        <v>366</v>
      </c>
      <c r="Q17" s="80" t="s">
        <v>368</v>
      </c>
      <c r="R17" s="81" t="s">
        <v>377</v>
      </c>
      <c r="S17" s="36"/>
      <c r="T17" s="1"/>
      <c r="U17" s="1"/>
      <c r="W17"/>
      <c r="X17"/>
      <c r="Y17" s="39"/>
    </row>
    <row r="18" spans="1:26" ht="18.75" customHeight="1" x14ac:dyDescent="0.35">
      <c r="A18" s="19" t="s">
        <v>92</v>
      </c>
      <c r="B18" s="19"/>
      <c r="C18" s="19"/>
      <c r="D18" s="19"/>
      <c r="E18" s="57"/>
      <c r="F18" s="57"/>
      <c r="G18" s="11"/>
      <c r="H18" s="58">
        <f>SUM(H19:H22)</f>
        <v>0</v>
      </c>
      <c r="M18" s="38"/>
      <c r="N18" s="38"/>
      <c r="O18" s="38"/>
      <c r="P18" s="120" t="s">
        <v>84</v>
      </c>
      <c r="Q18" s="78">
        <v>14</v>
      </c>
      <c r="R18" s="78">
        <f>COUNTIFS($W$3:$W$15,P18)</f>
        <v>0</v>
      </c>
      <c r="S18" s="1"/>
      <c r="T18" s="1"/>
      <c r="W18"/>
      <c r="X18"/>
    </row>
    <row r="19" spans="1:26" ht="18.95" customHeight="1" x14ac:dyDescent="0.3">
      <c r="A19" s="19" t="s">
        <v>112</v>
      </c>
      <c r="B19" s="19"/>
      <c r="C19" s="19"/>
      <c r="D19" s="19"/>
      <c r="E19" s="57"/>
      <c r="F19" s="57"/>
      <c r="G19" s="11"/>
      <c r="H19" s="58"/>
      <c r="M19" s="26" t="s">
        <v>113</v>
      </c>
      <c r="N19" s="26"/>
      <c r="O19" s="26"/>
      <c r="P19" s="121" t="s">
        <v>85</v>
      </c>
      <c r="Q19" s="79">
        <v>3</v>
      </c>
      <c r="R19" s="79">
        <f>COUNTIFS($W$3:$W$15,P19)</f>
        <v>0</v>
      </c>
      <c r="S19" s="1"/>
      <c r="T19" s="1"/>
      <c r="W19"/>
      <c r="X19"/>
    </row>
    <row r="20" spans="1:26" s="1" customFormat="1" ht="18.95" customHeight="1" x14ac:dyDescent="0.3">
      <c r="A20" s="19" t="s">
        <v>91</v>
      </c>
      <c r="B20" s="19"/>
      <c r="C20" s="19"/>
      <c r="D20" s="19"/>
      <c r="E20" s="57"/>
      <c r="F20" s="57"/>
      <c r="G20" s="11"/>
      <c r="H20" s="58"/>
      <c r="I20" s="23"/>
      <c r="J20" s="23"/>
      <c r="M20" s="26" t="s">
        <v>114</v>
      </c>
      <c r="N20" s="26"/>
      <c r="O20" s="26"/>
      <c r="P20" s="121" t="s">
        <v>86</v>
      </c>
      <c r="Q20" s="79">
        <v>1</v>
      </c>
      <c r="R20" s="79">
        <f>COUNTIFS($W$3:$W$15,P20)</f>
        <v>1</v>
      </c>
      <c r="Z20" s="125"/>
    </row>
    <row r="21" spans="1:26" s="1" customFormat="1" ht="18.95" customHeight="1" x14ac:dyDescent="0.3">
      <c r="A21" s="19" t="s">
        <v>90</v>
      </c>
      <c r="B21" s="19"/>
      <c r="C21" s="19"/>
      <c r="D21" s="19"/>
      <c r="E21" s="57"/>
      <c r="F21" s="57"/>
      <c r="G21" s="11"/>
      <c r="H21" s="58"/>
      <c r="I21" s="23"/>
      <c r="J21" s="23"/>
      <c r="M21" s="40"/>
      <c r="N21" s="40"/>
      <c r="O21" s="40"/>
      <c r="P21" s="121" t="s">
        <v>238</v>
      </c>
      <c r="Q21" s="79">
        <v>1</v>
      </c>
      <c r="R21" s="79">
        <f>COUNTIFS($W$3:$W$15,P21)</f>
        <v>0</v>
      </c>
      <c r="Z21" s="125"/>
    </row>
    <row r="22" spans="1:26" s="1" customFormat="1" ht="18.95" customHeight="1" x14ac:dyDescent="0.3">
      <c r="A22" s="64" t="s">
        <v>93</v>
      </c>
      <c r="B22" s="65"/>
      <c r="C22" s="66"/>
      <c r="D22" s="66"/>
      <c r="E22" s="57"/>
      <c r="F22" s="57"/>
      <c r="G22" s="63"/>
      <c r="H22" s="58"/>
      <c r="I22" s="23"/>
      <c r="J22" s="23"/>
      <c r="M22" s="26" t="s">
        <v>115</v>
      </c>
      <c r="N22" s="26"/>
      <c r="O22" s="26"/>
      <c r="P22" s="121" t="s">
        <v>87</v>
      </c>
      <c r="Q22" s="79">
        <v>2</v>
      </c>
      <c r="R22" s="79">
        <f>COUNTIFS($W$3:$W$15,P22)</f>
        <v>2</v>
      </c>
      <c r="Z22" s="125"/>
    </row>
    <row r="23" spans="1:26" s="1" customFormat="1" ht="18.95" customHeight="1" x14ac:dyDescent="0.3">
      <c r="E23" s="25"/>
      <c r="F23" s="25"/>
      <c r="I23" s="23"/>
      <c r="J23" s="23"/>
      <c r="P23" s="121" t="s">
        <v>327</v>
      </c>
      <c r="Q23" s="79">
        <v>1</v>
      </c>
      <c r="R23" s="79">
        <f>COUNTIFS($W$3:$W$15,P23)</f>
        <v>0</v>
      </c>
      <c r="S23" s="23"/>
      <c r="Z23" s="125"/>
    </row>
    <row r="24" spans="1:26" ht="20.25" x14ac:dyDescent="0.3">
      <c r="E24" s="24"/>
      <c r="F24" s="24"/>
      <c r="P24" s="121" t="s">
        <v>299</v>
      </c>
      <c r="Q24" s="79">
        <v>2</v>
      </c>
      <c r="R24" s="79">
        <f>COUNTIFS($W$3:$W$15,P24)</f>
        <v>0</v>
      </c>
      <c r="S24" s="14"/>
      <c r="T24" s="1"/>
      <c r="U24" s="1"/>
      <c r="W24"/>
      <c r="X24"/>
    </row>
    <row r="25" spans="1:26" ht="20.25" x14ac:dyDescent="0.3">
      <c r="E25" s="24"/>
      <c r="F25" s="24"/>
      <c r="P25" s="121" t="s">
        <v>365</v>
      </c>
      <c r="Q25" s="79">
        <v>1</v>
      </c>
      <c r="R25" s="79">
        <f>COUNTIFS($W$3:$W$15,P25)</f>
        <v>1</v>
      </c>
    </row>
    <row r="26" spans="1:26" ht="20.25" x14ac:dyDescent="0.3">
      <c r="E26" s="24"/>
      <c r="F26" s="24"/>
      <c r="P26" s="121" t="s">
        <v>364</v>
      </c>
      <c r="Q26" s="79">
        <v>5</v>
      </c>
      <c r="R26" s="79">
        <f>COUNTIFS($W$3:$W$15,P26)</f>
        <v>0</v>
      </c>
    </row>
    <row r="27" spans="1:26" ht="20.25" x14ac:dyDescent="0.3">
      <c r="E27" s="24"/>
      <c r="F27" s="24"/>
      <c r="P27" s="121" t="s">
        <v>290</v>
      </c>
      <c r="Q27" s="79">
        <v>1</v>
      </c>
      <c r="R27" s="79">
        <f>COUNTIFS($W$3:$W$15,P27)</f>
        <v>0</v>
      </c>
    </row>
    <row r="28" spans="1:26" ht="20.25" x14ac:dyDescent="0.3">
      <c r="E28" s="24"/>
      <c r="F28" s="24"/>
      <c r="P28" s="121" t="s">
        <v>367</v>
      </c>
      <c r="Q28" s="79">
        <f>SUM(Q18:Q27)</f>
        <v>31</v>
      </c>
      <c r="R28" s="79">
        <f>SUM(R18:R27)</f>
        <v>4</v>
      </c>
    </row>
    <row r="29" spans="1:26" x14ac:dyDescent="0.3">
      <c r="E29" s="24"/>
      <c r="F29" s="24"/>
    </row>
    <row r="30" spans="1:26" x14ac:dyDescent="0.3">
      <c r="E30" s="24"/>
      <c r="F30" s="24"/>
    </row>
    <row r="31" spans="1:26" x14ac:dyDescent="0.3">
      <c r="E31" s="24"/>
      <c r="F31" s="24"/>
    </row>
    <row r="32" spans="1:26" x14ac:dyDescent="0.3">
      <c r="E32" s="24"/>
      <c r="F32" s="24"/>
    </row>
    <row r="33" spans="5:6" x14ac:dyDescent="0.3">
      <c r="E33" s="24"/>
      <c r="F33" s="24"/>
    </row>
    <row r="34" spans="5:6" x14ac:dyDescent="0.3">
      <c r="E34" s="24"/>
      <c r="F34" s="24"/>
    </row>
    <row r="35" spans="5:6" x14ac:dyDescent="0.3">
      <c r="E35" s="24"/>
      <c r="F35" s="24"/>
    </row>
    <row r="36" spans="5:6" x14ac:dyDescent="0.3">
      <c r="E36" s="24"/>
      <c r="F36" s="24"/>
    </row>
    <row r="37" spans="5:6" x14ac:dyDescent="0.3">
      <c r="E37" s="24"/>
      <c r="F37" s="24"/>
    </row>
    <row r="38" spans="5:6" x14ac:dyDescent="0.3">
      <c r="E38" s="24"/>
      <c r="F38" s="24"/>
    </row>
    <row r="39" spans="5:6" x14ac:dyDescent="0.3">
      <c r="E39" s="24"/>
      <c r="F39" s="24"/>
    </row>
    <row r="40" spans="5:6" x14ac:dyDescent="0.3">
      <c r="E40" s="24"/>
      <c r="F40" s="24"/>
    </row>
    <row r="41" spans="5:6" x14ac:dyDescent="0.3">
      <c r="E41" s="24"/>
      <c r="F41" s="24"/>
    </row>
    <row r="42" spans="5:6" x14ac:dyDescent="0.3">
      <c r="E42" s="24"/>
      <c r="F42" s="24"/>
    </row>
    <row r="43" spans="5:6" x14ac:dyDescent="0.3">
      <c r="E43" s="24"/>
      <c r="F43" s="24"/>
    </row>
    <row r="44" spans="5:6" x14ac:dyDescent="0.3">
      <c r="E44" s="24"/>
      <c r="F44" s="24"/>
    </row>
    <row r="45" spans="5:6" x14ac:dyDescent="0.3">
      <c r="E45" s="24"/>
      <c r="F45" s="24"/>
    </row>
    <row r="46" spans="5:6" x14ac:dyDescent="0.3">
      <c r="E46" s="24"/>
      <c r="F46" s="24"/>
    </row>
    <row r="47" spans="5:6" x14ac:dyDescent="0.3">
      <c r="E47" s="24"/>
      <c r="F47" s="24"/>
    </row>
    <row r="48" spans="5:6" x14ac:dyDescent="0.3">
      <c r="E48" s="24"/>
      <c r="F48" s="24"/>
    </row>
    <row r="49" spans="5:6" x14ac:dyDescent="0.3">
      <c r="E49" s="24"/>
      <c r="F49" s="24"/>
    </row>
    <row r="50" spans="5:6" x14ac:dyDescent="0.3">
      <c r="E50" s="24"/>
      <c r="F50" s="24"/>
    </row>
    <row r="51" spans="5:6" x14ac:dyDescent="0.3">
      <c r="E51" s="24"/>
      <c r="F51" s="24"/>
    </row>
    <row r="52" spans="5:6" x14ac:dyDescent="0.3">
      <c r="E52" s="24"/>
      <c r="F52" s="24"/>
    </row>
    <row r="53" spans="5:6" x14ac:dyDescent="0.3">
      <c r="E53" s="24"/>
      <c r="F53" s="24"/>
    </row>
    <row r="54" spans="5:6" x14ac:dyDescent="0.3">
      <c r="E54" s="24"/>
      <c r="F54" s="24"/>
    </row>
    <row r="55" spans="5:6" x14ac:dyDescent="0.3">
      <c r="E55" s="24"/>
      <c r="F55" s="24"/>
    </row>
    <row r="56" spans="5:6" x14ac:dyDescent="0.3">
      <c r="E56" s="24"/>
      <c r="F56" s="24"/>
    </row>
    <row r="57" spans="5:6" x14ac:dyDescent="0.3">
      <c r="E57" s="24"/>
      <c r="F57" s="24"/>
    </row>
    <row r="58" spans="5:6" x14ac:dyDescent="0.3">
      <c r="E58" s="24"/>
      <c r="F58" s="24"/>
    </row>
    <row r="59" spans="5:6" x14ac:dyDescent="0.3">
      <c r="E59" s="24"/>
      <c r="F59" s="24"/>
    </row>
    <row r="60" spans="5:6" x14ac:dyDescent="0.3">
      <c r="E60" s="24"/>
      <c r="F60" s="24"/>
    </row>
  </sheetData>
  <autoFilter ref="A2:Y15" xr:uid="{D4B4DA04-45D3-4FE9-A1BF-FBAF30293A2A}">
    <sortState xmlns:xlrd2="http://schemas.microsoft.com/office/spreadsheetml/2017/richdata2" ref="A3:Y15">
      <sortCondition ref="E2:E15"/>
    </sortState>
  </autoFilter>
  <mergeCells count="1">
    <mergeCell ref="K1:L1"/>
  </mergeCells>
  <phoneticPr fontId="1" type="noConversion"/>
  <conditionalFormatting sqref="B3:B14">
    <cfRule type="cellIs" dxfId="6" priority="7" operator="lessThan">
      <formula>$AC$1</formula>
    </cfRule>
  </conditionalFormatting>
  <conditionalFormatting sqref="H3:H14">
    <cfRule type="containsText" dxfId="5" priority="5" operator="containsText" text="O">
      <formula>NOT(ISERROR(SEARCH("O",H3)))</formula>
    </cfRule>
  </conditionalFormatting>
  <conditionalFormatting sqref="L3:L14">
    <cfRule type="cellIs" dxfId="4" priority="1" operator="greaterThan">
      <formula>5</formula>
    </cfRule>
  </conditionalFormatting>
  <conditionalFormatting sqref="S3:S15">
    <cfRule type="cellIs" dxfId="3" priority="6" operator="lessThan">
      <formula>64</formula>
    </cfRule>
  </conditionalFormatting>
  <conditionalFormatting sqref="V3:V15">
    <cfRule type="cellIs" dxfId="2" priority="4" operator="greaterThan">
      <formula>1</formula>
    </cfRule>
  </conditionalFormatting>
  <conditionalFormatting sqref="Y3:Y15">
    <cfRule type="containsText" dxfId="1" priority="2" operator="containsText" text="신규">
      <formula>NOT(ISERROR(SEARCH("신규",Y3)))</formula>
    </cfRule>
    <cfRule type="containsText" dxfId="0" priority="3" operator="containsText" text="고령">
      <formula>NOT(ISERROR(SEARCH("고령",Y3)))</formula>
    </cfRule>
  </conditionalFormatting>
  <pageMargins left="0" right="0" top="0.43307086614173229" bottom="0.15748031496062992" header="0.19685039370078741" footer="0.11811023622047245"/>
  <pageSetup paperSize="9" scale="42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05648-A24C-4529-80BD-534CC0FC975F}">
  <dimension ref="A1:X12"/>
  <sheetViews>
    <sheetView workbookViewId="0">
      <selection activeCell="E10" sqref="E10"/>
    </sheetView>
  </sheetViews>
  <sheetFormatPr defaultRowHeight="16.5" x14ac:dyDescent="0.3"/>
  <cols>
    <col min="10" max="10" width="27" customWidth="1"/>
    <col min="13" max="13" width="49.125" customWidth="1"/>
    <col min="15" max="15" width="24.875" customWidth="1"/>
  </cols>
  <sheetData>
    <row r="1" spans="1:24" x14ac:dyDescent="0.3">
      <c r="A1" s="7">
        <v>1</v>
      </c>
      <c r="B1" s="7">
        <v>690619</v>
      </c>
      <c r="C1" s="7" t="s">
        <v>1</v>
      </c>
      <c r="D1" s="41" t="s">
        <v>141</v>
      </c>
      <c r="E1" s="136">
        <v>44936</v>
      </c>
      <c r="F1" s="44"/>
      <c r="G1" s="46" t="s">
        <v>194</v>
      </c>
      <c r="H1" s="10">
        <v>3180480</v>
      </c>
      <c r="I1" s="7" t="s">
        <v>35</v>
      </c>
      <c r="J1" s="20" t="s">
        <v>79</v>
      </c>
      <c r="K1" s="20" t="s">
        <v>419</v>
      </c>
      <c r="L1" s="7" t="s">
        <v>84</v>
      </c>
      <c r="M1" s="7" t="s">
        <v>105</v>
      </c>
      <c r="N1" s="7" t="s">
        <v>47</v>
      </c>
      <c r="O1" s="42" t="s">
        <v>142</v>
      </c>
      <c r="P1" s="9">
        <v>44879</v>
      </c>
      <c r="Q1" s="7">
        <f t="shared" ref="Q1:Q8" si="0">E1-P1</f>
        <v>57</v>
      </c>
      <c r="R1" s="7">
        <v>4</v>
      </c>
      <c r="S1" s="7" t="s">
        <v>36</v>
      </c>
    </row>
    <row r="2" spans="1:24" x14ac:dyDescent="0.3">
      <c r="A2" s="2">
        <v>2</v>
      </c>
      <c r="B2" s="2">
        <v>620915</v>
      </c>
      <c r="C2" s="2" t="s">
        <v>2</v>
      </c>
      <c r="D2" s="41" t="s">
        <v>143</v>
      </c>
      <c r="E2" s="135">
        <v>44968</v>
      </c>
      <c r="F2" s="45"/>
      <c r="G2" s="47" t="s">
        <v>194</v>
      </c>
      <c r="H2" s="6">
        <v>4550000</v>
      </c>
      <c r="I2" s="2" t="s">
        <v>35</v>
      </c>
      <c r="J2" s="21" t="s">
        <v>67</v>
      </c>
      <c r="K2" s="21" t="s">
        <v>420</v>
      </c>
      <c r="L2" s="2" t="s">
        <v>85</v>
      </c>
      <c r="M2" s="2" t="s">
        <v>104</v>
      </c>
      <c r="N2" s="2" t="s">
        <v>34</v>
      </c>
      <c r="O2" s="42" t="s">
        <v>144</v>
      </c>
      <c r="P2" s="3">
        <v>44746</v>
      </c>
      <c r="Q2" s="2">
        <f t="shared" si="0"/>
        <v>222</v>
      </c>
      <c r="R2" s="2">
        <v>1</v>
      </c>
      <c r="S2" s="2" t="s">
        <v>36</v>
      </c>
    </row>
    <row r="3" spans="1:24" ht="39" customHeight="1" x14ac:dyDescent="0.3">
      <c r="A3" s="2">
        <v>19</v>
      </c>
      <c r="B3" s="2">
        <v>941121</v>
      </c>
      <c r="C3" s="2" t="s">
        <v>18</v>
      </c>
      <c r="D3" s="41" t="s">
        <v>172</v>
      </c>
      <c r="E3" s="3">
        <v>45190</v>
      </c>
      <c r="F3" s="45"/>
      <c r="G3" s="47" t="s">
        <v>197</v>
      </c>
      <c r="H3" s="6">
        <v>3000000</v>
      </c>
      <c r="I3" s="2"/>
      <c r="J3" s="32" t="s">
        <v>203</v>
      </c>
      <c r="K3" s="32" t="s">
        <v>419</v>
      </c>
      <c r="L3" s="2" t="s">
        <v>84</v>
      </c>
      <c r="M3" s="31" t="s">
        <v>201</v>
      </c>
      <c r="N3" s="2" t="s">
        <v>61</v>
      </c>
      <c r="O3" s="42" t="s">
        <v>155</v>
      </c>
      <c r="P3" s="3">
        <v>44776</v>
      </c>
      <c r="Q3" s="2">
        <f t="shared" si="0"/>
        <v>414</v>
      </c>
      <c r="R3" s="2">
        <v>4</v>
      </c>
      <c r="S3" s="2" t="s">
        <v>196</v>
      </c>
    </row>
    <row r="4" spans="1:24" x14ac:dyDescent="0.3">
      <c r="A4" s="2">
        <v>20</v>
      </c>
      <c r="B4" s="2">
        <v>930612</v>
      </c>
      <c r="C4" s="2" t="s">
        <v>21</v>
      </c>
      <c r="D4" s="41" t="s">
        <v>173</v>
      </c>
      <c r="E4" s="3">
        <v>45195</v>
      </c>
      <c r="F4" s="45"/>
      <c r="G4" s="47" t="s">
        <v>194</v>
      </c>
      <c r="H4" s="6">
        <v>2800000</v>
      </c>
      <c r="I4" s="2"/>
      <c r="J4" s="21" t="s">
        <v>174</v>
      </c>
      <c r="K4" s="21" t="s">
        <v>428</v>
      </c>
      <c r="L4" s="2" t="s">
        <v>84</v>
      </c>
      <c r="M4" s="2" t="s">
        <v>108</v>
      </c>
      <c r="N4" s="2" t="s">
        <v>59</v>
      </c>
      <c r="O4" s="42" t="s">
        <v>142</v>
      </c>
      <c r="P4" s="3">
        <v>44888</v>
      </c>
      <c r="Q4" s="2">
        <f t="shared" si="0"/>
        <v>307</v>
      </c>
      <c r="R4" s="2">
        <v>1</v>
      </c>
      <c r="S4" s="2" t="s">
        <v>44</v>
      </c>
    </row>
    <row r="5" spans="1:24" x14ac:dyDescent="0.3">
      <c r="A5" s="2">
        <v>22</v>
      </c>
      <c r="B5" s="2">
        <v>850403</v>
      </c>
      <c r="C5" s="2" t="s">
        <v>22</v>
      </c>
      <c r="D5" s="41" t="s">
        <v>177</v>
      </c>
      <c r="E5" s="3">
        <v>45239</v>
      </c>
      <c r="F5" s="45"/>
      <c r="G5" s="47" t="s">
        <v>194</v>
      </c>
      <c r="H5" s="6">
        <v>1042820</v>
      </c>
      <c r="I5" s="2" t="s">
        <v>35</v>
      </c>
      <c r="J5" s="21" t="s">
        <v>80</v>
      </c>
      <c r="K5" s="21" t="s">
        <v>429</v>
      </c>
      <c r="L5" s="2" t="s">
        <v>88</v>
      </c>
      <c r="M5" s="2" t="s">
        <v>109</v>
      </c>
      <c r="N5" s="2" t="s">
        <v>62</v>
      </c>
      <c r="O5" s="42" t="s">
        <v>178</v>
      </c>
      <c r="P5" s="3">
        <v>45226</v>
      </c>
      <c r="Q5" s="2">
        <f t="shared" si="0"/>
        <v>13</v>
      </c>
      <c r="R5" s="2">
        <v>3</v>
      </c>
      <c r="S5" s="2" t="s">
        <v>36</v>
      </c>
    </row>
    <row r="6" spans="1:24" x14ac:dyDescent="0.3">
      <c r="A6" s="2">
        <v>23</v>
      </c>
      <c r="B6" s="2">
        <v>700117</v>
      </c>
      <c r="C6" s="2" t="s">
        <v>23</v>
      </c>
      <c r="D6" s="41" t="s">
        <v>179</v>
      </c>
      <c r="E6" s="3">
        <v>45254</v>
      </c>
      <c r="F6" s="45"/>
      <c r="G6" s="47" t="s">
        <v>194</v>
      </c>
      <c r="H6" s="6">
        <v>0</v>
      </c>
      <c r="I6" s="2"/>
      <c r="J6" s="21" t="s">
        <v>520</v>
      </c>
      <c r="K6" s="21" t="s">
        <v>389</v>
      </c>
      <c r="L6" s="2" t="s">
        <v>88</v>
      </c>
      <c r="M6" s="2" t="s">
        <v>25</v>
      </c>
      <c r="N6" s="2" t="s">
        <v>63</v>
      </c>
      <c r="O6" s="42" t="s">
        <v>180</v>
      </c>
      <c r="P6" s="3">
        <v>45103</v>
      </c>
      <c r="Q6" s="2">
        <f t="shared" si="0"/>
        <v>151</v>
      </c>
      <c r="R6" s="2">
        <v>4</v>
      </c>
      <c r="S6" s="2" t="s">
        <v>36</v>
      </c>
    </row>
    <row r="7" spans="1:24" ht="26.25" x14ac:dyDescent="0.3">
      <c r="A7" s="2">
        <v>27</v>
      </c>
      <c r="B7" s="15">
        <v>741122</v>
      </c>
      <c r="C7" s="15" t="s">
        <v>120</v>
      </c>
      <c r="D7" s="41" t="s">
        <v>186</v>
      </c>
      <c r="E7" s="3">
        <v>45644</v>
      </c>
      <c r="F7" s="55"/>
      <c r="G7" s="48" t="s">
        <v>194</v>
      </c>
      <c r="H7" s="27">
        <v>3466490</v>
      </c>
      <c r="I7" s="15"/>
      <c r="J7" s="22" t="s">
        <v>123</v>
      </c>
      <c r="K7" s="22" t="s">
        <v>431</v>
      </c>
      <c r="L7" s="15" t="s">
        <v>84</v>
      </c>
      <c r="M7" s="15" t="s">
        <v>121</v>
      </c>
      <c r="N7" s="15" t="s">
        <v>122</v>
      </c>
      <c r="O7" s="43" t="s">
        <v>165</v>
      </c>
      <c r="P7" s="17">
        <v>42779</v>
      </c>
      <c r="Q7" s="15">
        <f t="shared" si="0"/>
        <v>2865</v>
      </c>
      <c r="R7" s="15">
        <v>1</v>
      </c>
      <c r="S7" s="15" t="s">
        <v>36</v>
      </c>
    </row>
    <row r="8" spans="1:24" ht="50.25" thickBot="1" x14ac:dyDescent="0.35">
      <c r="A8" s="15">
        <v>28</v>
      </c>
      <c r="B8" s="15">
        <v>711205</v>
      </c>
      <c r="C8" s="15" t="s">
        <v>136</v>
      </c>
      <c r="D8" s="137" t="s">
        <v>190</v>
      </c>
      <c r="E8" s="138">
        <v>45652</v>
      </c>
      <c r="F8" s="55"/>
      <c r="G8" s="48" t="s">
        <v>194</v>
      </c>
      <c r="H8" s="27">
        <v>1000000</v>
      </c>
      <c r="I8" s="15"/>
      <c r="J8" s="35" t="s">
        <v>192</v>
      </c>
      <c r="K8" s="35" t="s">
        <v>432</v>
      </c>
      <c r="L8" s="15" t="s">
        <v>84</v>
      </c>
      <c r="M8" s="15" t="s">
        <v>188</v>
      </c>
      <c r="N8" s="15" t="s">
        <v>189</v>
      </c>
      <c r="O8" s="43" t="s">
        <v>191</v>
      </c>
      <c r="P8" s="17">
        <v>44797</v>
      </c>
      <c r="Q8" s="15">
        <f t="shared" si="0"/>
        <v>855</v>
      </c>
      <c r="R8" s="15">
        <v>1</v>
      </c>
      <c r="S8" s="15" t="s">
        <v>36</v>
      </c>
    </row>
    <row r="9" spans="1:24" ht="127.5" customHeight="1" x14ac:dyDescent="0.3">
      <c r="B9" s="7">
        <v>1</v>
      </c>
      <c r="C9" s="9">
        <v>31483</v>
      </c>
      <c r="D9" s="7" t="s">
        <v>131</v>
      </c>
      <c r="E9" s="7"/>
      <c r="F9" s="136">
        <v>45295</v>
      </c>
      <c r="G9" s="136" t="str">
        <f t="shared" ref="G9:G11" si="1">IF(F9="","",(CHOOSE(WEEKDAY(F9),"일","월","화","수","목","금","토")))</f>
        <v>목</v>
      </c>
      <c r="H9" s="7" t="s">
        <v>229</v>
      </c>
      <c r="I9" s="31" t="s">
        <v>229</v>
      </c>
      <c r="J9" s="29" t="s">
        <v>302</v>
      </c>
      <c r="K9" s="132">
        <v>1140000</v>
      </c>
      <c r="L9" s="7"/>
      <c r="M9" s="30" t="s">
        <v>215</v>
      </c>
      <c r="N9" s="30" t="s">
        <v>432</v>
      </c>
      <c r="O9" s="30" t="s">
        <v>212</v>
      </c>
      <c r="P9" s="7" t="s">
        <v>133</v>
      </c>
      <c r="Q9" s="7" t="s">
        <v>134</v>
      </c>
      <c r="R9" s="9">
        <v>45079</v>
      </c>
      <c r="S9" s="15">
        <f>IF(R9="-","-",(IF((F9-R9)=0,"",(F9-R9))))</f>
        <v>216</v>
      </c>
      <c r="T9" s="7">
        <v>1</v>
      </c>
      <c r="U9" s="61">
        <v>45299</v>
      </c>
      <c r="V9" s="77" t="s">
        <v>363</v>
      </c>
      <c r="W9" s="7" t="s">
        <v>87</v>
      </c>
      <c r="X9" s="7" t="s">
        <v>36</v>
      </c>
    </row>
    <row r="10" spans="1:24" ht="82.5" x14ac:dyDescent="0.3">
      <c r="B10" s="7">
        <v>5</v>
      </c>
      <c r="C10" s="9">
        <v>28418</v>
      </c>
      <c r="D10" s="2" t="s">
        <v>228</v>
      </c>
      <c r="E10" s="7"/>
      <c r="F10" s="135">
        <v>45350</v>
      </c>
      <c r="G10" s="136" t="str">
        <f t="shared" si="1"/>
        <v>수</v>
      </c>
      <c r="H10" s="2" t="s">
        <v>35</v>
      </c>
      <c r="I10" s="31" t="s">
        <v>229</v>
      </c>
      <c r="J10" s="31"/>
      <c r="K10" s="133">
        <v>0</v>
      </c>
      <c r="L10" s="2"/>
      <c r="M10" s="32" t="s">
        <v>232</v>
      </c>
      <c r="N10" s="32" t="s">
        <v>420</v>
      </c>
      <c r="O10" s="32" t="s">
        <v>433</v>
      </c>
      <c r="P10" s="31" t="s">
        <v>231</v>
      </c>
      <c r="Q10" s="2" t="s">
        <v>230</v>
      </c>
      <c r="R10" s="3">
        <v>44928</v>
      </c>
      <c r="S10" s="15">
        <f>IF(R10="-","-",(IF((F10-R10)=0,"",(F10-R10))))</f>
        <v>422</v>
      </c>
      <c r="T10" s="2">
        <v>1</v>
      </c>
      <c r="U10" s="4">
        <v>45350</v>
      </c>
      <c r="V10" s="31" t="s">
        <v>262</v>
      </c>
      <c r="W10" s="2" t="s">
        <v>85</v>
      </c>
      <c r="X10" s="2" t="s">
        <v>36</v>
      </c>
    </row>
    <row r="11" spans="1:24" ht="82.5" x14ac:dyDescent="0.3">
      <c r="B11" s="7">
        <v>13</v>
      </c>
      <c r="C11" s="9">
        <v>26055</v>
      </c>
      <c r="D11" s="31" t="s">
        <v>263</v>
      </c>
      <c r="E11" s="7"/>
      <c r="F11" s="135">
        <v>45460</v>
      </c>
      <c r="G11" s="136" t="str">
        <f t="shared" si="1"/>
        <v>월</v>
      </c>
      <c r="H11" s="31" t="s">
        <v>229</v>
      </c>
      <c r="I11" s="31" t="s">
        <v>229</v>
      </c>
      <c r="J11" s="31" t="s">
        <v>270</v>
      </c>
      <c r="K11" s="133" t="s">
        <v>271</v>
      </c>
      <c r="L11" s="2"/>
      <c r="M11" s="32" t="s">
        <v>265</v>
      </c>
      <c r="N11" s="32" t="s">
        <v>419</v>
      </c>
      <c r="O11" s="32" t="s">
        <v>266</v>
      </c>
      <c r="P11" s="2" t="s">
        <v>264</v>
      </c>
      <c r="Q11" s="2" t="s">
        <v>47</v>
      </c>
      <c r="R11" s="3">
        <v>45103</v>
      </c>
      <c r="S11" s="15">
        <f>IF(R11="-","-",(IF((F11-R11)=0,"",(F11-R11))))</f>
        <v>357</v>
      </c>
      <c r="T11" s="2">
        <v>4</v>
      </c>
      <c r="U11" s="4">
        <v>45461</v>
      </c>
      <c r="V11" s="31" t="s">
        <v>262</v>
      </c>
      <c r="W11" s="2" t="s">
        <v>84</v>
      </c>
      <c r="X11" s="2" t="s">
        <v>36</v>
      </c>
    </row>
    <row r="12" spans="1:24" ht="92.25" customHeight="1" x14ac:dyDescent="0.3">
      <c r="A12" s="7">
        <v>11</v>
      </c>
      <c r="B12" s="3">
        <v>33272</v>
      </c>
      <c r="C12" s="31" t="s">
        <v>450</v>
      </c>
      <c r="D12" s="7" t="e">
        <f t="shared" ref="D12" si="2">IF(B12="x","",(YEAR($K$1)-YEAR(B12)-(TEXT($K$1,"MMDD")&lt;TEXT(B12,"MMDD"))))</f>
        <v>#VALUE!</v>
      </c>
      <c r="E12" s="135">
        <v>45850</v>
      </c>
      <c r="F12" s="8" t="str">
        <f t="shared" ref="F12" si="3">IF(E12="","",(CHOOSE(WEEKDAY(E12),"일","월","화","수","목","금","토")))</f>
        <v>토</v>
      </c>
      <c r="G12" s="31" t="s">
        <v>132</v>
      </c>
      <c r="H12" s="31" t="s">
        <v>132</v>
      </c>
      <c r="I12" s="31" t="s">
        <v>451</v>
      </c>
      <c r="J12" s="88">
        <v>0</v>
      </c>
      <c r="K12" s="115">
        <v>2</v>
      </c>
      <c r="L12" s="32"/>
      <c r="M12" s="32" t="s">
        <v>452</v>
      </c>
      <c r="N12" s="32" t="s">
        <v>453</v>
      </c>
      <c r="O12" s="31" t="s">
        <v>454</v>
      </c>
      <c r="P12" s="2" t="s">
        <v>455</v>
      </c>
      <c r="Q12" s="3">
        <v>45784</v>
      </c>
      <c r="R12" s="15">
        <f>IF((E12-Q12)=0,"",(E12-Q12))</f>
        <v>66</v>
      </c>
      <c r="S12" s="2">
        <v>4</v>
      </c>
      <c r="T12" s="4">
        <v>45850</v>
      </c>
      <c r="U12" s="84">
        <f>T12-E12</f>
        <v>0</v>
      </c>
      <c r="V12" s="2" t="s">
        <v>84</v>
      </c>
      <c r="W12" s="2" t="s">
        <v>36</v>
      </c>
      <c r="X12" s="7" t="str">
        <f>IF(AND(B12&lt;$AC$1,R12&lt;60),"고령,신규",IF(AND(B12&lt;$AC$1,R12&gt;=60),"고령",IF(R12&lt;60,"신규","")))</f>
        <v/>
      </c>
    </row>
  </sheetData>
  <phoneticPr fontId="1" type="noConversion"/>
  <conditionalFormatting sqref="B1:B8">
    <cfRule type="cellIs" dxfId="26" priority="3" operator="lessThan">
      <formula>641231</formula>
    </cfRule>
  </conditionalFormatting>
  <conditionalFormatting sqref="B12">
    <cfRule type="cellIs" dxfId="25" priority="28" operator="lessThan">
      <formula>$AC$1</formula>
    </cfRule>
  </conditionalFormatting>
  <conditionalFormatting sqref="C9:C11">
    <cfRule type="cellIs" dxfId="24" priority="15" operator="lessThan">
      <formula>641231</formula>
    </cfRule>
  </conditionalFormatting>
  <conditionalFormatting sqref="H12">
    <cfRule type="containsText" dxfId="23" priority="26" operator="containsText" text="O">
      <formula>NOT(ISERROR(SEARCH("O",H12)))</formula>
    </cfRule>
  </conditionalFormatting>
  <conditionalFormatting sqref="I1:I8">
    <cfRule type="containsText" dxfId="22" priority="1" operator="containsText" text="O">
      <formula>NOT(ISERROR(SEARCH("O",I1)))</formula>
    </cfRule>
  </conditionalFormatting>
  <conditionalFormatting sqref="I9:I11">
    <cfRule type="containsText" dxfId="21" priority="13" operator="containsText" text="O">
      <formula>NOT(ISERROR(SEARCH("O",I9)))</formula>
    </cfRule>
  </conditionalFormatting>
  <conditionalFormatting sqref="K12">
    <cfRule type="cellIs" dxfId="20" priority="22" operator="greaterThan">
      <formula>5</formula>
    </cfRule>
  </conditionalFormatting>
  <conditionalFormatting sqref="Q1:Q8">
    <cfRule type="cellIs" dxfId="19" priority="2" operator="between">
      <formula>0</formula>
      <formula>64</formula>
    </cfRule>
  </conditionalFormatting>
  <conditionalFormatting sqref="R12">
    <cfRule type="cellIs" dxfId="18" priority="27" operator="lessThan">
      <formula>64</formula>
    </cfRule>
  </conditionalFormatting>
  <conditionalFormatting sqref="S9:S11">
    <cfRule type="cellIs" dxfId="17" priority="14" operator="lessThan">
      <formula>64</formula>
    </cfRule>
  </conditionalFormatting>
  <conditionalFormatting sqref="U12">
    <cfRule type="cellIs" dxfId="16" priority="25" operator="greaterThan">
      <formula>1</formula>
    </cfRule>
  </conditionalFormatting>
  <conditionalFormatting sqref="X12">
    <cfRule type="containsText" dxfId="15" priority="23" operator="containsText" text="신규">
      <formula>NOT(ISERROR(SEARCH("신규",X12)))</formula>
    </cfRule>
    <cfRule type="containsText" dxfId="14" priority="24" operator="containsText" text="고령">
      <formula>NOT(ISERROR(SEARCH("고령",X12)))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6D8D-B754-482F-BB5B-3D7B77F2AA36}">
  <dimension ref="B1:G23"/>
  <sheetViews>
    <sheetView workbookViewId="0">
      <selection activeCell="C9" sqref="C9"/>
    </sheetView>
  </sheetViews>
  <sheetFormatPr defaultRowHeight="16.5" x14ac:dyDescent="0.3"/>
  <cols>
    <col min="1" max="1" width="1.5" customWidth="1"/>
    <col min="2" max="2" width="17.875" bestFit="1" customWidth="1"/>
    <col min="3" max="3" width="14" customWidth="1"/>
    <col min="4" max="4" width="13.5" customWidth="1"/>
    <col min="5" max="5" width="14.75" customWidth="1"/>
  </cols>
  <sheetData>
    <row r="1" spans="2:7" ht="39.75" customHeight="1" thickBot="1" x14ac:dyDescent="0.6">
      <c r="B1" s="142" t="s">
        <v>447</v>
      </c>
      <c r="C1" s="142"/>
      <c r="D1" s="142"/>
      <c r="E1" s="142"/>
      <c r="F1" s="142"/>
      <c r="G1" s="142"/>
    </row>
    <row r="2" spans="2:7" ht="35.25" customHeight="1" thickBot="1" x14ac:dyDescent="0.35">
      <c r="B2" s="102" t="s">
        <v>444</v>
      </c>
      <c r="C2" s="103" t="s">
        <v>368</v>
      </c>
      <c r="D2" s="103" t="s">
        <v>448</v>
      </c>
      <c r="E2" s="103" t="s">
        <v>449</v>
      </c>
      <c r="F2" s="103" t="s">
        <v>442</v>
      </c>
      <c r="G2" s="104" t="s">
        <v>443</v>
      </c>
    </row>
    <row r="3" spans="2:7" ht="27" customHeight="1" x14ac:dyDescent="0.3">
      <c r="B3" s="105" t="s">
        <v>419</v>
      </c>
      <c r="C3" s="106">
        <v>9</v>
      </c>
      <c r="D3" s="106">
        <v>10</v>
      </c>
      <c r="E3" s="106">
        <v>2</v>
      </c>
      <c r="F3" s="106">
        <f t="shared" ref="F3:F22" si="0">SUM(C3:E3)</f>
        <v>21</v>
      </c>
      <c r="G3" s="107">
        <f>F3/$F$23</f>
        <v>0.33870967741935482</v>
      </c>
    </row>
    <row r="4" spans="2:7" ht="27" customHeight="1" x14ac:dyDescent="0.3">
      <c r="B4" s="96" t="s">
        <v>420</v>
      </c>
      <c r="C4" s="94">
        <v>1</v>
      </c>
      <c r="D4" s="94">
        <v>4</v>
      </c>
      <c r="E4" s="94">
        <v>2</v>
      </c>
      <c r="F4" s="94">
        <f t="shared" si="0"/>
        <v>7</v>
      </c>
      <c r="G4" s="97">
        <f t="shared" ref="G4:G22" si="1">F4/$F$23</f>
        <v>0.11290322580645161</v>
      </c>
    </row>
    <row r="5" spans="2:7" ht="27" customHeight="1" x14ac:dyDescent="0.3">
      <c r="B5" s="98" t="s">
        <v>432</v>
      </c>
      <c r="C5" s="94"/>
      <c r="D5" s="94">
        <v>4</v>
      </c>
      <c r="E5" s="94">
        <v>1</v>
      </c>
      <c r="F5" s="94">
        <f t="shared" si="0"/>
        <v>5</v>
      </c>
      <c r="G5" s="97">
        <f t="shared" si="1"/>
        <v>8.0645161290322578E-2</v>
      </c>
    </row>
    <row r="6" spans="2:7" ht="27" customHeight="1" x14ac:dyDescent="0.3">
      <c r="B6" s="99" t="s">
        <v>389</v>
      </c>
      <c r="C6" s="95">
        <v>3</v>
      </c>
      <c r="D6" s="95">
        <v>1</v>
      </c>
      <c r="E6" s="95">
        <v>1</v>
      </c>
      <c r="F6" s="95">
        <f t="shared" si="0"/>
        <v>5</v>
      </c>
      <c r="G6" s="100">
        <f t="shared" si="1"/>
        <v>8.0645161290322578E-2</v>
      </c>
    </row>
    <row r="7" spans="2:7" ht="27" customHeight="1" x14ac:dyDescent="0.3">
      <c r="B7" s="99" t="s">
        <v>441</v>
      </c>
      <c r="C7" s="95">
        <v>2</v>
      </c>
      <c r="D7" s="95">
        <v>1</v>
      </c>
      <c r="E7" s="95"/>
      <c r="F7" s="95">
        <f t="shared" si="0"/>
        <v>3</v>
      </c>
      <c r="G7" s="100">
        <f t="shared" si="1"/>
        <v>4.8387096774193547E-2</v>
      </c>
    </row>
    <row r="8" spans="2:7" ht="27" customHeight="1" x14ac:dyDescent="0.3">
      <c r="B8" s="99" t="s">
        <v>440</v>
      </c>
      <c r="C8" s="95">
        <v>1</v>
      </c>
      <c r="D8" s="95"/>
      <c r="E8" s="95">
        <v>1</v>
      </c>
      <c r="F8" s="95">
        <f t="shared" si="0"/>
        <v>2</v>
      </c>
      <c r="G8" s="100">
        <f t="shared" si="1"/>
        <v>3.2258064516129031E-2</v>
      </c>
    </row>
    <row r="9" spans="2:7" ht="27" customHeight="1" x14ac:dyDescent="0.3">
      <c r="B9" s="99" t="s">
        <v>422</v>
      </c>
      <c r="C9" s="95">
        <v>2</v>
      </c>
      <c r="D9" s="95"/>
      <c r="E9" s="95"/>
      <c r="F9" s="95">
        <f t="shared" si="0"/>
        <v>2</v>
      </c>
      <c r="G9" s="100">
        <f t="shared" si="1"/>
        <v>3.2258064516129031E-2</v>
      </c>
    </row>
    <row r="10" spans="2:7" ht="27" customHeight="1" x14ac:dyDescent="0.3">
      <c r="B10" s="99" t="s">
        <v>425</v>
      </c>
      <c r="C10" s="95">
        <v>1</v>
      </c>
      <c r="D10" s="95"/>
      <c r="E10" s="95">
        <v>1</v>
      </c>
      <c r="F10" s="95">
        <f t="shared" si="0"/>
        <v>2</v>
      </c>
      <c r="G10" s="100">
        <f t="shared" si="1"/>
        <v>3.2258064516129031E-2</v>
      </c>
    </row>
    <row r="11" spans="2:7" ht="27" customHeight="1" x14ac:dyDescent="0.3">
      <c r="B11" s="99" t="s">
        <v>427</v>
      </c>
      <c r="C11" s="95">
        <v>2</v>
      </c>
      <c r="D11" s="95"/>
      <c r="E11" s="95"/>
      <c r="F11" s="95">
        <f t="shared" si="0"/>
        <v>2</v>
      </c>
      <c r="G11" s="100">
        <f t="shared" si="1"/>
        <v>3.2258064516129031E-2</v>
      </c>
    </row>
    <row r="12" spans="2:7" ht="27" customHeight="1" x14ac:dyDescent="0.3">
      <c r="B12" s="99" t="s">
        <v>428</v>
      </c>
      <c r="C12" s="95">
        <v>1</v>
      </c>
      <c r="D12" s="95">
        <v>1</v>
      </c>
      <c r="E12" s="95"/>
      <c r="F12" s="95">
        <f t="shared" si="0"/>
        <v>2</v>
      </c>
      <c r="G12" s="100">
        <f t="shared" si="1"/>
        <v>3.2258064516129031E-2</v>
      </c>
    </row>
    <row r="13" spans="2:7" ht="27" customHeight="1" x14ac:dyDescent="0.3">
      <c r="B13" s="99" t="s">
        <v>430</v>
      </c>
      <c r="C13" s="95">
        <v>1</v>
      </c>
      <c r="D13" s="95">
        <v>1</v>
      </c>
      <c r="E13" s="95"/>
      <c r="F13" s="95">
        <f t="shared" si="0"/>
        <v>2</v>
      </c>
      <c r="G13" s="100">
        <f t="shared" si="1"/>
        <v>3.2258064516129031E-2</v>
      </c>
    </row>
    <row r="14" spans="2:7" ht="27" customHeight="1" x14ac:dyDescent="0.3">
      <c r="B14" s="99" t="s">
        <v>423</v>
      </c>
      <c r="C14" s="95">
        <v>1</v>
      </c>
      <c r="D14" s="95"/>
      <c r="E14" s="95"/>
      <c r="F14" s="95">
        <f t="shared" si="0"/>
        <v>1</v>
      </c>
      <c r="G14" s="100">
        <f t="shared" si="1"/>
        <v>1.6129032258064516E-2</v>
      </c>
    </row>
    <row r="15" spans="2:7" ht="27" customHeight="1" x14ac:dyDescent="0.3">
      <c r="B15" s="99" t="s">
        <v>424</v>
      </c>
      <c r="C15" s="95">
        <v>1</v>
      </c>
      <c r="D15" s="95"/>
      <c r="E15" s="95"/>
      <c r="F15" s="95">
        <f t="shared" si="0"/>
        <v>1</v>
      </c>
      <c r="G15" s="100">
        <f t="shared" si="1"/>
        <v>1.6129032258064516E-2</v>
      </c>
    </row>
    <row r="16" spans="2:7" ht="27" customHeight="1" x14ac:dyDescent="0.3">
      <c r="B16" s="99" t="s">
        <v>429</v>
      </c>
      <c r="C16" s="95">
        <v>1</v>
      </c>
      <c r="D16" s="95"/>
      <c r="E16" s="95"/>
      <c r="F16" s="95">
        <f t="shared" si="0"/>
        <v>1</v>
      </c>
      <c r="G16" s="100">
        <f t="shared" si="1"/>
        <v>1.6129032258064516E-2</v>
      </c>
    </row>
    <row r="17" spans="2:7" ht="27" customHeight="1" x14ac:dyDescent="0.3">
      <c r="B17" s="99" t="s">
        <v>431</v>
      </c>
      <c r="C17" s="95">
        <v>1</v>
      </c>
      <c r="D17" s="95"/>
      <c r="E17" s="95"/>
      <c r="F17" s="95">
        <f t="shared" si="0"/>
        <v>1</v>
      </c>
      <c r="G17" s="100">
        <f t="shared" si="1"/>
        <v>1.6129032258064516E-2</v>
      </c>
    </row>
    <row r="18" spans="2:7" ht="27" customHeight="1" x14ac:dyDescent="0.3">
      <c r="B18" s="101" t="s">
        <v>434</v>
      </c>
      <c r="C18" s="95"/>
      <c r="D18" s="95">
        <v>1</v>
      </c>
      <c r="E18" s="95"/>
      <c r="F18" s="95">
        <f t="shared" si="0"/>
        <v>1</v>
      </c>
      <c r="G18" s="100">
        <f t="shared" si="1"/>
        <v>1.6129032258064516E-2</v>
      </c>
    </row>
    <row r="19" spans="2:7" ht="27" customHeight="1" x14ac:dyDescent="0.3">
      <c r="B19" s="101" t="s">
        <v>435</v>
      </c>
      <c r="C19" s="95"/>
      <c r="D19" s="95">
        <v>1</v>
      </c>
      <c r="E19" s="95"/>
      <c r="F19" s="95">
        <f t="shared" si="0"/>
        <v>1</v>
      </c>
      <c r="G19" s="100">
        <f t="shared" si="1"/>
        <v>1.6129032258064516E-2</v>
      </c>
    </row>
    <row r="20" spans="2:7" ht="27" customHeight="1" x14ac:dyDescent="0.3">
      <c r="B20" s="101" t="s">
        <v>290</v>
      </c>
      <c r="C20" s="95"/>
      <c r="D20" s="95">
        <v>1</v>
      </c>
      <c r="E20" s="95"/>
      <c r="F20" s="95">
        <f t="shared" si="0"/>
        <v>1</v>
      </c>
      <c r="G20" s="100">
        <f t="shared" si="1"/>
        <v>1.6129032258064516E-2</v>
      </c>
    </row>
    <row r="21" spans="2:7" ht="27" customHeight="1" x14ac:dyDescent="0.3">
      <c r="B21" s="101" t="s">
        <v>436</v>
      </c>
      <c r="C21" s="95"/>
      <c r="D21" s="95">
        <v>1</v>
      </c>
      <c r="E21" s="95"/>
      <c r="F21" s="95">
        <f t="shared" si="0"/>
        <v>1</v>
      </c>
      <c r="G21" s="100">
        <f t="shared" si="1"/>
        <v>1.6129032258064516E-2</v>
      </c>
    </row>
    <row r="22" spans="2:7" ht="27" customHeight="1" thickBot="1" x14ac:dyDescent="0.35">
      <c r="B22" s="108" t="s">
        <v>439</v>
      </c>
      <c r="C22" s="109"/>
      <c r="D22" s="109"/>
      <c r="E22" s="109">
        <v>1</v>
      </c>
      <c r="F22" s="109">
        <f t="shared" si="0"/>
        <v>1</v>
      </c>
      <c r="G22" s="110">
        <f t="shared" si="1"/>
        <v>1.6129032258064516E-2</v>
      </c>
    </row>
    <row r="23" spans="2:7" ht="33.75" customHeight="1" thickBot="1" x14ac:dyDescent="0.35">
      <c r="B23" s="111" t="s">
        <v>445</v>
      </c>
      <c r="C23" s="111">
        <f>SUM(C3:C22)</f>
        <v>27</v>
      </c>
      <c r="D23" s="111">
        <f t="shared" ref="D23:E23" si="2">SUM(D3:D22)</f>
        <v>26</v>
      </c>
      <c r="E23" s="111">
        <f t="shared" si="2"/>
        <v>9</v>
      </c>
      <c r="F23" s="112">
        <f>SUM(F3:F22)</f>
        <v>62</v>
      </c>
      <c r="G23" s="113" t="s">
        <v>446</v>
      </c>
    </row>
  </sheetData>
  <autoFilter ref="B2:F22" xr:uid="{5B04B629-9212-4230-8782-F349BAAC3319}">
    <sortState xmlns:xlrd2="http://schemas.microsoft.com/office/spreadsheetml/2017/richdata2" ref="B3:F22">
      <sortCondition descending="1" ref="F2:F22"/>
    </sortState>
  </autoFilter>
  <mergeCells count="1">
    <mergeCell ref="B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E98F-43E0-4D70-B1C5-D7439E77B7B8}">
  <sheetPr>
    <tabColor theme="4"/>
    <pageSetUpPr fitToPage="1"/>
  </sheetPr>
  <dimension ref="A1:AC59"/>
  <sheetViews>
    <sheetView showGridLines="0" zoomScale="70" zoomScaleNormal="70" workbookViewId="0">
      <pane ySplit="2" topLeftCell="A3" activePane="bottomLeft" state="frozen"/>
      <selection pane="bottomLeft" activeCell="B4" sqref="B4"/>
    </sheetView>
  </sheetViews>
  <sheetFormatPr defaultRowHeight="16.5" x14ac:dyDescent="0.3"/>
  <cols>
    <col min="1" max="1" width="5.125" customWidth="1"/>
    <col min="2" max="2" width="6.625" customWidth="1"/>
    <col min="3" max="3" width="7.25" customWidth="1"/>
    <col min="4" max="4" width="4.375" customWidth="1"/>
    <col min="5" max="5" width="7.25" customWidth="1"/>
    <col min="6" max="6" width="3.375" customWidth="1"/>
    <col min="7" max="7" width="6.25" customWidth="1"/>
    <col min="8" max="8" width="4.75" customWidth="1"/>
    <col min="9" max="9" width="15.25" style="14" customWidth="1"/>
    <col min="10" max="10" width="4.625" style="14" customWidth="1"/>
    <col min="11" max="11" width="12" style="1" customWidth="1"/>
    <col min="12" max="12" width="4.625" style="1" customWidth="1"/>
    <col min="13" max="13" width="45.25" customWidth="1"/>
    <col min="14" max="14" width="12.875" customWidth="1"/>
    <col min="15" max="15" width="29.75" hidden="1" customWidth="1"/>
    <col min="16" max="16" width="16.5" style="122" customWidth="1"/>
    <col min="17" max="17" width="8.75" customWidth="1"/>
    <col min="18" max="18" width="11" customWidth="1"/>
    <col min="19" max="19" width="8.375" customWidth="1"/>
    <col min="20" max="20" width="5.25" customWidth="1"/>
    <col min="21" max="21" width="9.625" customWidth="1"/>
    <col min="22" max="22" width="11.875" hidden="1" customWidth="1"/>
    <col min="23" max="23" width="6" style="14" customWidth="1"/>
    <col min="24" max="24" width="7.125" style="1" hidden="1" customWidth="1"/>
    <col min="25" max="25" width="7" style="1" customWidth="1"/>
    <col min="26" max="26" width="4.125" style="125" customWidth="1"/>
    <col min="29" max="29" width="12.25" bestFit="1" customWidth="1"/>
  </cols>
  <sheetData>
    <row r="1" spans="1:29" ht="25.5" customHeight="1" x14ac:dyDescent="0.3">
      <c r="A1" s="50" t="s">
        <v>553</v>
      </c>
      <c r="B1" s="50"/>
      <c r="C1" s="50"/>
      <c r="D1" s="50"/>
      <c r="E1" s="50"/>
      <c r="F1" s="50"/>
      <c r="G1" s="50"/>
      <c r="H1" s="50"/>
      <c r="I1" s="50"/>
      <c r="J1" s="130" t="s">
        <v>513</v>
      </c>
      <c r="K1" s="141">
        <f ca="1">TODAY()</f>
        <v>46078</v>
      </c>
      <c r="L1" s="141"/>
      <c r="M1" s="50"/>
      <c r="N1" s="50"/>
      <c r="O1" s="50"/>
      <c r="P1" s="117"/>
      <c r="Q1" s="50"/>
      <c r="R1" s="50"/>
      <c r="S1" s="50"/>
      <c r="T1" s="50"/>
      <c r="U1" s="50"/>
      <c r="V1" s="50"/>
      <c r="W1" s="50"/>
      <c r="X1" s="50"/>
      <c r="Y1" s="50"/>
      <c r="AC1" s="83">
        <v>23742</v>
      </c>
    </row>
    <row r="2" spans="1:29" s="1" customFormat="1" ht="37.5" customHeight="1" x14ac:dyDescent="0.3">
      <c r="A2" s="11" t="s">
        <v>26</v>
      </c>
      <c r="B2" s="11" t="s">
        <v>554</v>
      </c>
      <c r="C2" s="11" t="s">
        <v>27</v>
      </c>
      <c r="D2" s="11" t="s">
        <v>511</v>
      </c>
      <c r="E2" s="12" t="s">
        <v>30</v>
      </c>
      <c r="F2" s="12" t="s">
        <v>512</v>
      </c>
      <c r="G2" s="12" t="s">
        <v>281</v>
      </c>
      <c r="H2" s="12" t="s">
        <v>210</v>
      </c>
      <c r="I2" s="11" t="s">
        <v>301</v>
      </c>
      <c r="J2" s="12" t="s">
        <v>470</v>
      </c>
      <c r="K2" s="12" t="s">
        <v>376</v>
      </c>
      <c r="L2" s="12" t="s">
        <v>456</v>
      </c>
      <c r="M2" s="11" t="s">
        <v>126</v>
      </c>
      <c r="N2" s="11" t="s">
        <v>438</v>
      </c>
      <c r="O2" s="11" t="s">
        <v>207</v>
      </c>
      <c r="P2" s="12" t="s">
        <v>28</v>
      </c>
      <c r="Q2" s="11" t="s">
        <v>31</v>
      </c>
      <c r="R2" s="11" t="s">
        <v>33</v>
      </c>
      <c r="S2" s="12" t="s">
        <v>38</v>
      </c>
      <c r="T2" s="12" t="s">
        <v>94</v>
      </c>
      <c r="U2" s="12" t="s">
        <v>249</v>
      </c>
      <c r="V2" s="11" t="s">
        <v>384</v>
      </c>
      <c r="W2" s="11" t="s">
        <v>83</v>
      </c>
      <c r="X2" s="11" t="s">
        <v>37</v>
      </c>
      <c r="Y2" s="12" t="s">
        <v>119</v>
      </c>
      <c r="Z2" s="123" t="s">
        <v>485</v>
      </c>
    </row>
    <row r="3" spans="1:29" ht="78.75" customHeight="1" x14ac:dyDescent="0.3">
      <c r="A3" s="7">
        <v>1</v>
      </c>
      <c r="B3" s="139">
        <v>33272</v>
      </c>
      <c r="C3" s="31" t="s">
        <v>450</v>
      </c>
      <c r="D3" s="7">
        <f t="shared" ref="D3:D13" ca="1" si="0">IF(B3="x","",(YEAR($K$1)-YEAR(B3)-(TEXT($K$1,"MMDD")&lt;TEXT(B3,"MMDD"))))</f>
        <v>35</v>
      </c>
      <c r="E3" s="135">
        <v>45850</v>
      </c>
      <c r="F3" s="8" t="str">
        <f t="shared" ref="F3:F13" si="1">IF(E3="","",(CHOOSE(WEEKDAY(E3),"일","월","화","수","목","금","토")))</f>
        <v>토</v>
      </c>
      <c r="G3" s="31" t="s">
        <v>132</v>
      </c>
      <c r="H3" s="31" t="s">
        <v>132</v>
      </c>
      <c r="I3" s="31" t="s">
        <v>451</v>
      </c>
      <c r="J3" s="88">
        <v>0</v>
      </c>
      <c r="K3" s="89">
        <v>446650</v>
      </c>
      <c r="L3" s="115">
        <v>2</v>
      </c>
      <c r="M3" s="32" t="s">
        <v>452</v>
      </c>
      <c r="N3" s="32" t="s">
        <v>419</v>
      </c>
      <c r="O3" s="32" t="s">
        <v>453</v>
      </c>
      <c r="P3" s="31" t="s">
        <v>454</v>
      </c>
      <c r="Q3" s="2" t="s">
        <v>455</v>
      </c>
      <c r="R3" s="3">
        <v>45784</v>
      </c>
      <c r="S3" s="15">
        <f t="shared" ref="S3:S13" si="2">IF((E3-R3)=0,"",(E3-R3))</f>
        <v>66</v>
      </c>
      <c r="T3" s="2">
        <v>4</v>
      </c>
      <c r="U3" s="4">
        <v>45850</v>
      </c>
      <c r="V3" s="84">
        <f t="shared" ref="V3:V13" si="3">U3-E3</f>
        <v>0</v>
      </c>
      <c r="W3" s="2" t="s">
        <v>84</v>
      </c>
      <c r="X3" s="2" t="s">
        <v>36</v>
      </c>
      <c r="Y3" s="7" t="str">
        <f t="shared" ref="Y3:Y11" si="4">IF(AND(B3&lt;$AC$1,S3&lt;60),"고령,신규",IF(AND(B3&lt;$AC$1,S3&gt;=60),"고령",IF(S3&lt;60,"신규","")))</f>
        <v/>
      </c>
      <c r="Z3" s="126"/>
    </row>
    <row r="4" spans="1:29" ht="93.75" customHeight="1" x14ac:dyDescent="0.3">
      <c r="A4" s="7">
        <v>2</v>
      </c>
      <c r="B4" s="139">
        <v>32408</v>
      </c>
      <c r="C4" s="31" t="s">
        <v>475</v>
      </c>
      <c r="D4" s="7">
        <f t="shared" ca="1" si="0"/>
        <v>37</v>
      </c>
      <c r="E4" s="135">
        <v>45908</v>
      </c>
      <c r="F4" s="8" t="str">
        <f t="shared" si="1"/>
        <v>월</v>
      </c>
      <c r="G4" s="31" t="s">
        <v>467</v>
      </c>
      <c r="H4" s="31" t="s">
        <v>467</v>
      </c>
      <c r="I4" s="31" t="s">
        <v>480</v>
      </c>
      <c r="J4" s="88">
        <v>0</v>
      </c>
      <c r="K4" s="89">
        <v>0</v>
      </c>
      <c r="L4" s="115">
        <v>2</v>
      </c>
      <c r="M4" s="32" t="s">
        <v>476</v>
      </c>
      <c r="N4" s="32" t="s">
        <v>419</v>
      </c>
      <c r="O4" s="32" t="s">
        <v>477</v>
      </c>
      <c r="P4" s="31" t="s">
        <v>454</v>
      </c>
      <c r="Q4" s="2" t="s">
        <v>455</v>
      </c>
      <c r="R4" s="3">
        <v>45860</v>
      </c>
      <c r="S4" s="15">
        <f t="shared" si="2"/>
        <v>48</v>
      </c>
      <c r="T4" s="2">
        <v>4</v>
      </c>
      <c r="U4" s="4">
        <v>45908</v>
      </c>
      <c r="V4" s="84">
        <f t="shared" si="3"/>
        <v>0</v>
      </c>
      <c r="W4" s="2" t="s">
        <v>84</v>
      </c>
      <c r="X4" s="2" t="s">
        <v>36</v>
      </c>
      <c r="Y4" s="7" t="str">
        <f t="shared" si="4"/>
        <v>신규</v>
      </c>
      <c r="Z4" s="124"/>
    </row>
    <row r="5" spans="1:29" ht="49.5" x14ac:dyDescent="0.3">
      <c r="A5" s="7">
        <v>3</v>
      </c>
      <c r="B5" s="139">
        <v>28043</v>
      </c>
      <c r="C5" s="2" t="s">
        <v>478</v>
      </c>
      <c r="D5" s="7">
        <f t="shared" ca="1" si="0"/>
        <v>49</v>
      </c>
      <c r="E5" s="135">
        <v>45960</v>
      </c>
      <c r="F5" s="8" t="str">
        <f t="shared" si="1"/>
        <v>목</v>
      </c>
      <c r="G5" s="2" t="s">
        <v>467</v>
      </c>
      <c r="H5" s="31" t="s">
        <v>467</v>
      </c>
      <c r="I5" s="31" t="s">
        <v>479</v>
      </c>
      <c r="J5" s="88">
        <v>0</v>
      </c>
      <c r="K5" s="89">
        <v>291120</v>
      </c>
      <c r="L5" s="115">
        <v>2</v>
      </c>
      <c r="M5" s="32" t="s">
        <v>481</v>
      </c>
      <c r="N5" s="32" t="s">
        <v>482</v>
      </c>
      <c r="O5" s="32" t="s">
        <v>483</v>
      </c>
      <c r="P5" s="31" t="s">
        <v>454</v>
      </c>
      <c r="Q5" s="2" t="s">
        <v>455</v>
      </c>
      <c r="R5" s="3">
        <v>45873</v>
      </c>
      <c r="S5" s="15">
        <f t="shared" si="2"/>
        <v>87</v>
      </c>
      <c r="T5" s="2">
        <v>4</v>
      </c>
      <c r="U5" s="4">
        <v>45960</v>
      </c>
      <c r="V5" s="84">
        <f t="shared" si="3"/>
        <v>0</v>
      </c>
      <c r="W5" s="2" t="s">
        <v>87</v>
      </c>
      <c r="X5" s="2" t="s">
        <v>36</v>
      </c>
      <c r="Y5" s="7" t="str">
        <f t="shared" si="4"/>
        <v/>
      </c>
      <c r="Z5" s="127"/>
    </row>
    <row r="6" spans="1:29" ht="132.75" customHeight="1" x14ac:dyDescent="0.3">
      <c r="A6" s="7">
        <v>4</v>
      </c>
      <c r="B6" s="139">
        <v>30734</v>
      </c>
      <c r="C6" s="2" t="s">
        <v>489</v>
      </c>
      <c r="D6" s="7">
        <f t="shared" ca="1" si="0"/>
        <v>42</v>
      </c>
      <c r="E6" s="135">
        <v>45982</v>
      </c>
      <c r="F6" s="8" t="str">
        <f t="shared" si="1"/>
        <v>금</v>
      </c>
      <c r="G6" s="2" t="s">
        <v>229</v>
      </c>
      <c r="H6" s="31" t="s">
        <v>229</v>
      </c>
      <c r="I6" s="31" t="s">
        <v>494</v>
      </c>
      <c r="J6" s="88">
        <v>0</v>
      </c>
      <c r="K6" s="89">
        <v>226870</v>
      </c>
      <c r="L6" s="115">
        <v>2</v>
      </c>
      <c r="M6" s="32" t="s">
        <v>490</v>
      </c>
      <c r="N6" s="32" t="s">
        <v>495</v>
      </c>
      <c r="O6" s="32" t="s">
        <v>492</v>
      </c>
      <c r="P6" s="31" t="s">
        <v>454</v>
      </c>
      <c r="Q6" s="2" t="s">
        <v>455</v>
      </c>
      <c r="R6" s="3">
        <v>45901</v>
      </c>
      <c r="S6" s="15">
        <f t="shared" si="2"/>
        <v>81</v>
      </c>
      <c r="T6" s="2">
        <v>4</v>
      </c>
      <c r="U6" s="4">
        <v>45982</v>
      </c>
      <c r="V6" s="84">
        <f t="shared" si="3"/>
        <v>0</v>
      </c>
      <c r="W6" s="2" t="s">
        <v>491</v>
      </c>
      <c r="X6" s="2" t="s">
        <v>496</v>
      </c>
      <c r="Y6" s="7" t="str">
        <f t="shared" si="4"/>
        <v/>
      </c>
      <c r="Z6" s="126"/>
    </row>
    <row r="7" spans="1:29" ht="48" customHeight="1" x14ac:dyDescent="0.3">
      <c r="A7" s="7">
        <v>5</v>
      </c>
      <c r="B7" s="139">
        <v>31250</v>
      </c>
      <c r="C7" s="2" t="s">
        <v>535</v>
      </c>
      <c r="D7" s="7">
        <f t="shared" ca="1" si="0"/>
        <v>40</v>
      </c>
      <c r="E7" s="135">
        <v>46004</v>
      </c>
      <c r="F7" s="8" t="str">
        <f t="shared" si="1"/>
        <v>토</v>
      </c>
      <c r="G7" s="2" t="s">
        <v>132</v>
      </c>
      <c r="H7" s="31" t="s">
        <v>132</v>
      </c>
      <c r="I7" s="31" t="s">
        <v>547</v>
      </c>
      <c r="J7" s="88">
        <v>0</v>
      </c>
      <c r="K7" s="89">
        <v>184900</v>
      </c>
      <c r="L7" s="115">
        <v>2</v>
      </c>
      <c r="M7" s="32" t="s">
        <v>548</v>
      </c>
      <c r="N7" s="32" t="s">
        <v>145</v>
      </c>
      <c r="O7" s="32"/>
      <c r="P7" s="31" t="s">
        <v>550</v>
      </c>
      <c r="Q7" s="2" t="s">
        <v>544</v>
      </c>
      <c r="R7" s="3">
        <v>45943</v>
      </c>
      <c r="S7" s="15">
        <f t="shared" si="2"/>
        <v>61</v>
      </c>
      <c r="T7" s="2">
        <v>4</v>
      </c>
      <c r="U7" s="4">
        <v>46006</v>
      </c>
      <c r="V7" s="84">
        <f t="shared" si="3"/>
        <v>2</v>
      </c>
      <c r="W7" s="2" t="s">
        <v>86</v>
      </c>
      <c r="X7" s="2"/>
      <c r="Y7" s="7" t="str">
        <f t="shared" si="4"/>
        <v/>
      </c>
      <c r="Z7" s="126"/>
    </row>
    <row r="8" spans="1:29" ht="33" x14ac:dyDescent="0.3">
      <c r="A8" s="7">
        <v>6</v>
      </c>
      <c r="B8" s="139">
        <v>34691</v>
      </c>
      <c r="C8" s="2" t="s">
        <v>521</v>
      </c>
      <c r="D8" s="7">
        <f t="shared" ca="1" si="0"/>
        <v>31</v>
      </c>
      <c r="E8" s="135">
        <v>45905</v>
      </c>
      <c r="F8" s="8" t="str">
        <f t="shared" si="1"/>
        <v>금</v>
      </c>
      <c r="G8" s="2" t="s">
        <v>132</v>
      </c>
      <c r="H8" s="31" t="s">
        <v>132</v>
      </c>
      <c r="I8" s="31" t="s">
        <v>523</v>
      </c>
      <c r="J8" s="88">
        <v>0</v>
      </c>
      <c r="K8" s="89">
        <v>0</v>
      </c>
      <c r="L8" s="115">
        <v>2</v>
      </c>
      <c r="M8" s="32" t="s">
        <v>528</v>
      </c>
      <c r="N8" s="32" t="s">
        <v>419</v>
      </c>
      <c r="O8" s="32" t="s">
        <v>474</v>
      </c>
      <c r="P8" s="31" t="s">
        <v>454</v>
      </c>
      <c r="Q8" s="2" t="s">
        <v>526</v>
      </c>
      <c r="R8" s="3">
        <v>45812</v>
      </c>
      <c r="S8" s="15">
        <f t="shared" si="2"/>
        <v>93</v>
      </c>
      <c r="T8" s="2">
        <v>4</v>
      </c>
      <c r="U8" s="4">
        <v>45905</v>
      </c>
      <c r="V8" s="84">
        <f t="shared" si="3"/>
        <v>0</v>
      </c>
      <c r="W8" s="2" t="s">
        <v>533</v>
      </c>
      <c r="X8" s="2">
        <v>18</v>
      </c>
      <c r="Y8" s="7" t="str">
        <f t="shared" si="4"/>
        <v/>
      </c>
      <c r="Z8" s="126"/>
    </row>
    <row r="9" spans="1:29" ht="33" x14ac:dyDescent="0.3">
      <c r="A9" s="7">
        <v>7</v>
      </c>
      <c r="B9" s="139">
        <v>36493</v>
      </c>
      <c r="C9" s="31" t="s">
        <v>524</v>
      </c>
      <c r="D9" s="7">
        <f t="shared" ca="1" si="0"/>
        <v>26</v>
      </c>
      <c r="E9" s="135">
        <v>45931</v>
      </c>
      <c r="F9" s="8" t="str">
        <f t="shared" si="1"/>
        <v>수</v>
      </c>
      <c r="G9" s="31" t="s">
        <v>132</v>
      </c>
      <c r="H9" s="31" t="s">
        <v>132</v>
      </c>
      <c r="I9" s="31" t="s">
        <v>525</v>
      </c>
      <c r="J9" s="88">
        <v>0</v>
      </c>
      <c r="K9" s="89">
        <v>0</v>
      </c>
      <c r="L9" s="115">
        <v>2</v>
      </c>
      <c r="M9" s="32" t="s">
        <v>527</v>
      </c>
      <c r="N9" s="32" t="s">
        <v>419</v>
      </c>
      <c r="O9" s="32" t="s">
        <v>474</v>
      </c>
      <c r="P9" s="31" t="s">
        <v>454</v>
      </c>
      <c r="Q9" s="2" t="s">
        <v>526</v>
      </c>
      <c r="R9" s="3">
        <v>45901</v>
      </c>
      <c r="S9" s="15">
        <f t="shared" si="2"/>
        <v>30</v>
      </c>
      <c r="T9" s="2">
        <v>4</v>
      </c>
      <c r="U9" s="4">
        <v>45931</v>
      </c>
      <c r="V9" s="84">
        <f t="shared" si="3"/>
        <v>0</v>
      </c>
      <c r="W9" s="2" t="s">
        <v>532</v>
      </c>
      <c r="X9" s="2">
        <v>12</v>
      </c>
      <c r="Y9" s="7" t="str">
        <f t="shared" si="4"/>
        <v>신규</v>
      </c>
      <c r="Z9" s="126"/>
    </row>
    <row r="10" spans="1:29" ht="49.5" x14ac:dyDescent="0.3">
      <c r="A10" s="7">
        <v>8</v>
      </c>
      <c r="B10" s="139">
        <v>29621</v>
      </c>
      <c r="C10" s="31" t="s">
        <v>549</v>
      </c>
      <c r="D10" s="7">
        <f t="shared" ca="1" si="0"/>
        <v>45</v>
      </c>
      <c r="E10" s="135">
        <v>45999</v>
      </c>
      <c r="F10" s="8" t="str">
        <f t="shared" si="1"/>
        <v>월</v>
      </c>
      <c r="G10" s="31" t="s">
        <v>132</v>
      </c>
      <c r="H10" s="31" t="s">
        <v>132</v>
      </c>
      <c r="I10" s="31" t="s">
        <v>552</v>
      </c>
      <c r="J10" s="88">
        <v>0</v>
      </c>
      <c r="K10" s="89">
        <f>317060+11690</f>
        <v>328750</v>
      </c>
      <c r="L10" s="115">
        <v>2</v>
      </c>
      <c r="M10" s="32" t="s">
        <v>551</v>
      </c>
      <c r="N10" s="32" t="s">
        <v>419</v>
      </c>
      <c r="O10" s="32"/>
      <c r="P10" s="31" t="s">
        <v>550</v>
      </c>
      <c r="Q10" s="2" t="s">
        <v>544</v>
      </c>
      <c r="R10" s="3">
        <v>45943</v>
      </c>
      <c r="S10" s="15">
        <f t="shared" si="2"/>
        <v>56</v>
      </c>
      <c r="T10" s="2">
        <v>4</v>
      </c>
      <c r="U10" s="4"/>
      <c r="V10" s="84"/>
      <c r="W10" s="2"/>
      <c r="X10" s="2"/>
      <c r="Y10" s="7" t="str">
        <f t="shared" si="4"/>
        <v>신규</v>
      </c>
      <c r="Z10" s="126"/>
    </row>
    <row r="11" spans="1:29" ht="49.5" x14ac:dyDescent="0.3">
      <c r="A11" s="7">
        <v>9</v>
      </c>
      <c r="B11" s="139">
        <v>30416</v>
      </c>
      <c r="C11" s="31" t="s">
        <v>536</v>
      </c>
      <c r="D11" s="7">
        <f t="shared" ca="1" si="0"/>
        <v>42</v>
      </c>
      <c r="E11" s="135">
        <v>46020</v>
      </c>
      <c r="F11" s="8" t="str">
        <f t="shared" si="1"/>
        <v>월</v>
      </c>
      <c r="G11" s="31" t="s">
        <v>132</v>
      </c>
      <c r="H11" s="31" t="s">
        <v>132</v>
      </c>
      <c r="I11" s="31" t="s">
        <v>546</v>
      </c>
      <c r="J11" s="88">
        <v>0</v>
      </c>
      <c r="K11" s="89">
        <v>506390</v>
      </c>
      <c r="L11" s="115">
        <v>2</v>
      </c>
      <c r="M11" s="32" t="s">
        <v>543</v>
      </c>
      <c r="N11" s="32" t="s">
        <v>542</v>
      </c>
      <c r="O11" s="32"/>
      <c r="P11" s="31" t="s">
        <v>454</v>
      </c>
      <c r="Q11" s="2" t="s">
        <v>455</v>
      </c>
      <c r="R11" s="3">
        <v>45831</v>
      </c>
      <c r="S11" s="15">
        <f t="shared" si="2"/>
        <v>189</v>
      </c>
      <c r="T11" s="2">
        <v>4</v>
      </c>
      <c r="U11" s="4">
        <v>46021</v>
      </c>
      <c r="V11" s="84">
        <f t="shared" si="3"/>
        <v>1</v>
      </c>
      <c r="W11" s="2" t="s">
        <v>87</v>
      </c>
      <c r="X11" s="2"/>
      <c r="Y11" s="7" t="str">
        <f t="shared" si="4"/>
        <v/>
      </c>
      <c r="Z11" s="126"/>
    </row>
    <row r="12" spans="1:29" ht="49.5" x14ac:dyDescent="0.3">
      <c r="A12" s="7">
        <v>10</v>
      </c>
      <c r="B12" s="139">
        <v>31132</v>
      </c>
      <c r="C12" s="31" t="s">
        <v>537</v>
      </c>
      <c r="D12" s="7">
        <f ca="1">IF(B12="x","",(YEAR($K$1)-YEAR(B12)-(TEXT($K$1,"MMDD")&lt;TEXT(B12,"MMDD"))))</f>
        <v>40</v>
      </c>
      <c r="E12" s="135">
        <v>46044</v>
      </c>
      <c r="F12" s="8" t="str">
        <f>IF(E12="","",(CHOOSE(WEEKDAY(E12),"일","월","화","수","목","금","토")))</f>
        <v>목</v>
      </c>
      <c r="G12" s="31" t="s">
        <v>132</v>
      </c>
      <c r="H12" s="31" t="s">
        <v>132</v>
      </c>
      <c r="I12" s="31" t="s">
        <v>540</v>
      </c>
      <c r="J12" s="88">
        <v>0</v>
      </c>
      <c r="K12" s="89">
        <v>0</v>
      </c>
      <c r="L12" s="115">
        <v>1</v>
      </c>
      <c r="M12" s="32" t="s">
        <v>541</v>
      </c>
      <c r="N12" s="32" t="s">
        <v>441</v>
      </c>
      <c r="O12" s="32" t="s">
        <v>538</v>
      </c>
      <c r="P12" s="31" t="s">
        <v>454</v>
      </c>
      <c r="Q12" s="2" t="s">
        <v>455</v>
      </c>
      <c r="R12" s="3">
        <v>46027</v>
      </c>
      <c r="S12" s="15">
        <f>IF((E12-R12)=0,"",(E12-R12))</f>
        <v>17</v>
      </c>
      <c r="T12" s="2">
        <v>4</v>
      </c>
      <c r="U12" s="4">
        <v>46044</v>
      </c>
      <c r="V12" s="84">
        <f>U12-E12</f>
        <v>0</v>
      </c>
      <c r="W12" s="2" t="s">
        <v>539</v>
      </c>
      <c r="X12" s="2"/>
      <c r="Y12" s="7" t="str">
        <f>IF(AND(B12&lt;$AC$1,S12&lt;60),"고령,신규",IF(AND(B12&lt;$AC$1,S12&gt;=60),"고령",IF(S12&lt;60,"신규","")))</f>
        <v>신규</v>
      </c>
      <c r="Z12" s="126"/>
    </row>
    <row r="13" spans="1:29" ht="78" customHeight="1" x14ac:dyDescent="0.3">
      <c r="A13" s="7">
        <v>11</v>
      </c>
      <c r="B13" s="139">
        <v>28382</v>
      </c>
      <c r="C13" s="2" t="s">
        <v>529</v>
      </c>
      <c r="D13" s="7">
        <f t="shared" ca="1" si="0"/>
        <v>48</v>
      </c>
      <c r="E13" s="135">
        <v>46055</v>
      </c>
      <c r="F13" s="8" t="str">
        <f t="shared" si="1"/>
        <v>월</v>
      </c>
      <c r="G13" s="31" t="s">
        <v>35</v>
      </c>
      <c r="H13" s="31" t="s">
        <v>132</v>
      </c>
      <c r="I13" s="129" t="s">
        <v>545</v>
      </c>
      <c r="J13" s="88">
        <v>0</v>
      </c>
      <c r="K13" s="89">
        <v>608340</v>
      </c>
      <c r="L13" s="115" t="s">
        <v>530</v>
      </c>
      <c r="M13" s="32" t="s">
        <v>534</v>
      </c>
      <c r="N13" s="32" t="s">
        <v>439</v>
      </c>
      <c r="O13" s="32"/>
      <c r="P13" s="31" t="s">
        <v>454</v>
      </c>
      <c r="Q13" s="2" t="s">
        <v>526</v>
      </c>
      <c r="R13" s="3">
        <v>46043</v>
      </c>
      <c r="S13" s="15">
        <f t="shared" si="2"/>
        <v>12</v>
      </c>
      <c r="T13" s="2">
        <v>4</v>
      </c>
      <c r="U13" s="4">
        <v>46056</v>
      </c>
      <c r="V13" s="84">
        <f t="shared" si="3"/>
        <v>1</v>
      </c>
      <c r="W13" s="2" t="s">
        <v>87</v>
      </c>
      <c r="X13" s="2">
        <v>14</v>
      </c>
      <c r="Y13" s="7" t="str">
        <f t="shared" ref="Y13" si="5">IF(AND(B13&lt;$AC$1,S13&lt;60),"고령,신규",IF(AND(B13&lt;$AC$1,S13&gt;=60),"고령",IF(S13&lt;60,"신규","")))</f>
        <v>신규</v>
      </c>
      <c r="Z13" s="126"/>
    </row>
    <row r="14" spans="1:29" ht="50.25" customHeight="1" x14ac:dyDescent="0.3">
      <c r="A14" s="70"/>
      <c r="B14" s="71"/>
      <c r="C14" s="71"/>
      <c r="D14" s="71"/>
      <c r="E14" s="71"/>
      <c r="F14" s="71"/>
      <c r="G14" s="71"/>
      <c r="H14" s="71"/>
      <c r="I14" s="72" t="s">
        <v>216</v>
      </c>
      <c r="J14" s="92"/>
      <c r="K14" s="93">
        <f>SUM(K3:K13)</f>
        <v>2593020</v>
      </c>
      <c r="L14" s="143" t="str">
        <f>IF((E14-R14)=0,"",(E14-R14))</f>
        <v/>
      </c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5"/>
    </row>
    <row r="15" spans="1:29" ht="18.75" customHeight="1" x14ac:dyDescent="0.3">
      <c r="A15" s="67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118"/>
      <c r="Q15" s="68"/>
      <c r="R15" s="68"/>
      <c r="S15" s="68"/>
      <c r="T15" s="68"/>
      <c r="U15" s="68"/>
      <c r="V15" s="68"/>
      <c r="W15"/>
      <c r="X15"/>
    </row>
    <row r="16" spans="1:29" ht="17.25" customHeight="1" x14ac:dyDescent="0.3">
      <c r="A16" s="13" t="s">
        <v>378</v>
      </c>
      <c r="E16" s="24"/>
      <c r="F16" s="24"/>
      <c r="I16" s="36"/>
      <c r="J16" s="36"/>
      <c r="K16" s="37"/>
      <c r="L16" s="37"/>
      <c r="M16" s="38" t="s">
        <v>137</v>
      </c>
      <c r="N16" s="38"/>
      <c r="O16" s="38"/>
      <c r="P16" s="119" t="s">
        <v>366</v>
      </c>
      <c r="Q16" s="80" t="s">
        <v>368</v>
      </c>
      <c r="R16" s="81" t="s">
        <v>377</v>
      </c>
      <c r="S16" s="36"/>
      <c r="T16" s="1"/>
      <c r="U16" s="1"/>
      <c r="W16"/>
      <c r="X16"/>
      <c r="Y16" s="39"/>
    </row>
    <row r="17" spans="1:26" ht="18.75" customHeight="1" x14ac:dyDescent="0.35">
      <c r="A17" s="19" t="s">
        <v>92</v>
      </c>
      <c r="B17" s="19"/>
      <c r="C17" s="19"/>
      <c r="D17" s="19"/>
      <c r="E17" s="57"/>
      <c r="F17" s="57"/>
      <c r="G17" s="11"/>
      <c r="H17" s="58">
        <f>SUM(H18:H21)</f>
        <v>0</v>
      </c>
      <c r="M17" s="38"/>
      <c r="N17" s="38"/>
      <c r="O17" s="38"/>
      <c r="P17" s="120" t="s">
        <v>84</v>
      </c>
      <c r="Q17" s="78">
        <v>14</v>
      </c>
      <c r="R17" s="78">
        <f t="shared" ref="R17:R26" si="6">COUNTIFS($W$3:$W$14,P17)</f>
        <v>2</v>
      </c>
      <c r="S17" s="1"/>
      <c r="T17" s="1"/>
      <c r="W17"/>
      <c r="X17"/>
    </row>
    <row r="18" spans="1:26" ht="18.95" customHeight="1" x14ac:dyDescent="0.3">
      <c r="A18" s="19" t="s">
        <v>112</v>
      </c>
      <c r="B18" s="19"/>
      <c r="C18" s="19"/>
      <c r="D18" s="19"/>
      <c r="E18" s="57"/>
      <c r="F18" s="57"/>
      <c r="G18" s="11"/>
      <c r="H18" s="58"/>
      <c r="M18" s="26" t="s">
        <v>113</v>
      </c>
      <c r="N18" s="26"/>
      <c r="O18" s="26"/>
      <c r="P18" s="121" t="s">
        <v>85</v>
      </c>
      <c r="Q18" s="79">
        <v>3</v>
      </c>
      <c r="R18" s="79">
        <f t="shared" si="6"/>
        <v>0</v>
      </c>
      <c r="S18" s="1"/>
      <c r="T18" s="1"/>
      <c r="W18"/>
      <c r="X18"/>
    </row>
    <row r="19" spans="1:26" s="1" customFormat="1" ht="18.95" customHeight="1" x14ac:dyDescent="0.3">
      <c r="A19" s="19" t="s">
        <v>91</v>
      </c>
      <c r="B19" s="19"/>
      <c r="C19" s="19"/>
      <c r="D19" s="19"/>
      <c r="E19" s="57"/>
      <c r="F19" s="57"/>
      <c r="G19" s="11"/>
      <c r="H19" s="58"/>
      <c r="I19" s="23"/>
      <c r="J19" s="23"/>
      <c r="M19" s="26" t="s">
        <v>114</v>
      </c>
      <c r="N19" s="26"/>
      <c r="O19" s="26"/>
      <c r="P19" s="121" t="s">
        <v>86</v>
      </c>
      <c r="Q19" s="79">
        <v>1</v>
      </c>
      <c r="R19" s="79">
        <f t="shared" si="6"/>
        <v>2</v>
      </c>
      <c r="Z19" s="125"/>
    </row>
    <row r="20" spans="1:26" s="1" customFormat="1" ht="18.95" customHeight="1" x14ac:dyDescent="0.3">
      <c r="A20" s="19" t="s">
        <v>90</v>
      </c>
      <c r="B20" s="19"/>
      <c r="C20" s="19"/>
      <c r="D20" s="19"/>
      <c r="E20" s="57"/>
      <c r="F20" s="57"/>
      <c r="G20" s="11"/>
      <c r="H20" s="58"/>
      <c r="I20" s="23"/>
      <c r="J20" s="23"/>
      <c r="M20" s="40"/>
      <c r="N20" s="40"/>
      <c r="O20" s="40"/>
      <c r="P20" s="121" t="s">
        <v>238</v>
      </c>
      <c r="Q20" s="79">
        <v>1</v>
      </c>
      <c r="R20" s="79">
        <f t="shared" si="6"/>
        <v>0</v>
      </c>
      <c r="Z20" s="125"/>
    </row>
    <row r="21" spans="1:26" s="1" customFormat="1" ht="18.95" customHeight="1" x14ac:dyDescent="0.3">
      <c r="A21" s="64" t="s">
        <v>93</v>
      </c>
      <c r="B21" s="65"/>
      <c r="C21" s="66"/>
      <c r="D21" s="66"/>
      <c r="E21" s="57"/>
      <c r="F21" s="57"/>
      <c r="G21" s="63"/>
      <c r="H21" s="58"/>
      <c r="I21" s="23"/>
      <c r="J21" s="23"/>
      <c r="M21" s="26" t="s">
        <v>115</v>
      </c>
      <c r="N21" s="26"/>
      <c r="O21" s="26"/>
      <c r="P21" s="121" t="s">
        <v>87</v>
      </c>
      <c r="Q21" s="79">
        <v>2</v>
      </c>
      <c r="R21" s="79">
        <f t="shared" si="6"/>
        <v>3</v>
      </c>
      <c r="Z21" s="125"/>
    </row>
    <row r="22" spans="1:26" s="1" customFormat="1" ht="18.95" customHeight="1" x14ac:dyDescent="0.3">
      <c r="E22" s="25"/>
      <c r="F22" s="25"/>
      <c r="I22" s="23"/>
      <c r="J22" s="23"/>
      <c r="P22" s="121" t="s">
        <v>327</v>
      </c>
      <c r="Q22" s="79">
        <v>1</v>
      </c>
      <c r="R22" s="79">
        <f t="shared" si="6"/>
        <v>0</v>
      </c>
      <c r="S22" s="23"/>
      <c r="Z22" s="125"/>
    </row>
    <row r="23" spans="1:26" ht="20.25" x14ac:dyDescent="0.3">
      <c r="E23" s="24"/>
      <c r="F23" s="24"/>
      <c r="P23" s="121" t="s">
        <v>299</v>
      </c>
      <c r="Q23" s="79">
        <v>2</v>
      </c>
      <c r="R23" s="79">
        <f t="shared" si="6"/>
        <v>0</v>
      </c>
      <c r="S23" s="14"/>
      <c r="T23" s="1"/>
      <c r="U23" s="1"/>
      <c r="W23"/>
      <c r="X23"/>
    </row>
    <row r="24" spans="1:26" ht="20.25" x14ac:dyDescent="0.3">
      <c r="E24" s="24"/>
      <c r="F24" s="24"/>
      <c r="P24" s="121" t="s">
        <v>365</v>
      </c>
      <c r="Q24" s="79">
        <v>1</v>
      </c>
      <c r="R24" s="79">
        <f t="shared" si="6"/>
        <v>0</v>
      </c>
    </row>
    <row r="25" spans="1:26" ht="20.25" x14ac:dyDescent="0.3">
      <c r="E25" s="24"/>
      <c r="F25" s="24"/>
      <c r="P25" s="121" t="s">
        <v>364</v>
      </c>
      <c r="Q25" s="79">
        <v>5</v>
      </c>
      <c r="R25" s="79">
        <f t="shared" si="6"/>
        <v>0</v>
      </c>
    </row>
    <row r="26" spans="1:26" ht="20.25" x14ac:dyDescent="0.3">
      <c r="E26" s="24"/>
      <c r="F26" s="24"/>
      <c r="P26" s="121" t="s">
        <v>290</v>
      </c>
      <c r="Q26" s="79">
        <v>1</v>
      </c>
      <c r="R26" s="79">
        <f t="shared" si="6"/>
        <v>0</v>
      </c>
    </row>
    <row r="27" spans="1:26" ht="20.25" x14ac:dyDescent="0.3">
      <c r="E27" s="24"/>
      <c r="F27" s="24"/>
      <c r="P27" s="121" t="s">
        <v>367</v>
      </c>
      <c r="Q27" s="79">
        <f>SUM(Q17:Q26)</f>
        <v>31</v>
      </c>
      <c r="R27" s="79">
        <f>SUM(R17:R26)</f>
        <v>7</v>
      </c>
    </row>
    <row r="28" spans="1:26" x14ac:dyDescent="0.3">
      <c r="E28" s="24"/>
      <c r="F28" s="24"/>
    </row>
    <row r="29" spans="1:26" x14ac:dyDescent="0.3">
      <c r="E29" s="24"/>
      <c r="F29" s="24"/>
    </row>
    <row r="30" spans="1:26" x14ac:dyDescent="0.3">
      <c r="E30" s="24"/>
      <c r="F30" s="24"/>
    </row>
    <row r="31" spans="1:26" x14ac:dyDescent="0.3">
      <c r="E31" s="24"/>
      <c r="F31" s="24"/>
    </row>
    <row r="32" spans="1:26" x14ac:dyDescent="0.3">
      <c r="E32" s="24"/>
      <c r="F32" s="24"/>
    </row>
    <row r="33" spans="5:6" x14ac:dyDescent="0.3">
      <c r="E33" s="24"/>
      <c r="F33" s="24"/>
    </row>
    <row r="34" spans="5:6" x14ac:dyDescent="0.3">
      <c r="E34" s="24"/>
      <c r="F34" s="24"/>
    </row>
    <row r="35" spans="5:6" x14ac:dyDescent="0.3">
      <c r="E35" s="24"/>
      <c r="F35" s="24"/>
    </row>
    <row r="36" spans="5:6" x14ac:dyDescent="0.3">
      <c r="E36" s="24"/>
      <c r="F36" s="24"/>
    </row>
    <row r="37" spans="5:6" x14ac:dyDescent="0.3">
      <c r="E37" s="24"/>
      <c r="F37" s="24"/>
    </row>
    <row r="38" spans="5:6" x14ac:dyDescent="0.3">
      <c r="E38" s="24"/>
      <c r="F38" s="24"/>
    </row>
    <row r="39" spans="5:6" x14ac:dyDescent="0.3">
      <c r="E39" s="24"/>
      <c r="F39" s="24"/>
    </row>
    <row r="40" spans="5:6" x14ac:dyDescent="0.3">
      <c r="E40" s="24"/>
      <c r="F40" s="24"/>
    </row>
    <row r="41" spans="5:6" x14ac:dyDescent="0.3">
      <c r="E41" s="24"/>
      <c r="F41" s="24"/>
    </row>
    <row r="42" spans="5:6" x14ac:dyDescent="0.3">
      <c r="E42" s="24"/>
      <c r="F42" s="24"/>
    </row>
    <row r="43" spans="5:6" x14ac:dyDescent="0.3">
      <c r="E43" s="24"/>
      <c r="F43" s="24"/>
    </row>
    <row r="44" spans="5:6" x14ac:dyDescent="0.3">
      <c r="E44" s="24"/>
      <c r="F44" s="24"/>
    </row>
    <row r="45" spans="5:6" x14ac:dyDescent="0.3">
      <c r="E45" s="24"/>
      <c r="F45" s="24"/>
    </row>
    <row r="46" spans="5:6" x14ac:dyDescent="0.3">
      <c r="E46" s="24"/>
      <c r="F46" s="24"/>
    </row>
    <row r="47" spans="5:6" x14ac:dyDescent="0.3">
      <c r="E47" s="24"/>
      <c r="F47" s="24"/>
    </row>
    <row r="48" spans="5:6" x14ac:dyDescent="0.3">
      <c r="E48" s="24"/>
      <c r="F48" s="24"/>
    </row>
    <row r="49" spans="5:6" x14ac:dyDescent="0.3">
      <c r="E49" s="24"/>
      <c r="F49" s="24"/>
    </row>
    <row r="50" spans="5:6" x14ac:dyDescent="0.3">
      <c r="E50" s="24"/>
      <c r="F50" s="24"/>
    </row>
    <row r="51" spans="5:6" x14ac:dyDescent="0.3">
      <c r="E51" s="24"/>
      <c r="F51" s="24"/>
    </row>
    <row r="52" spans="5:6" x14ac:dyDescent="0.3">
      <c r="E52" s="24"/>
      <c r="F52" s="24"/>
    </row>
    <row r="53" spans="5:6" x14ac:dyDescent="0.3">
      <c r="E53" s="24"/>
      <c r="F53" s="24"/>
    </row>
    <row r="54" spans="5:6" x14ac:dyDescent="0.3">
      <c r="E54" s="24"/>
      <c r="F54" s="24"/>
    </row>
    <row r="55" spans="5:6" x14ac:dyDescent="0.3">
      <c r="E55" s="24"/>
      <c r="F55" s="24"/>
    </row>
    <row r="56" spans="5:6" x14ac:dyDescent="0.3">
      <c r="E56" s="24"/>
      <c r="F56" s="24"/>
    </row>
    <row r="57" spans="5:6" x14ac:dyDescent="0.3">
      <c r="E57" s="24"/>
      <c r="F57" s="24"/>
    </row>
    <row r="58" spans="5:6" x14ac:dyDescent="0.3">
      <c r="E58" s="24"/>
      <c r="F58" s="24"/>
    </row>
    <row r="59" spans="5:6" x14ac:dyDescent="0.3">
      <c r="E59" s="24"/>
      <c r="F59" s="24"/>
    </row>
  </sheetData>
  <autoFilter ref="A2:Y14" xr:uid="{D4B4DA04-45D3-4FE9-A1BF-FBAF30293A2A}">
    <sortState xmlns:xlrd2="http://schemas.microsoft.com/office/spreadsheetml/2017/richdata2" ref="A3:Y14">
      <sortCondition ref="E2:E14"/>
    </sortState>
  </autoFilter>
  <mergeCells count="2">
    <mergeCell ref="K1:L1"/>
    <mergeCell ref="L14:Z14"/>
  </mergeCells>
  <phoneticPr fontId="1" type="noConversion"/>
  <conditionalFormatting sqref="B3:B13">
    <cfRule type="cellIs" dxfId="13" priority="7" operator="lessThan">
      <formula>$AC$1</formula>
    </cfRule>
  </conditionalFormatting>
  <conditionalFormatting sqref="H3:H13">
    <cfRule type="containsText" dxfId="12" priority="5" operator="containsText" text="O">
      <formula>NOT(ISERROR(SEARCH("O",H3)))</formula>
    </cfRule>
  </conditionalFormatting>
  <conditionalFormatting sqref="L3:L13">
    <cfRule type="cellIs" dxfId="11" priority="1" operator="greaterThan">
      <formula>5</formula>
    </cfRule>
  </conditionalFormatting>
  <conditionalFormatting sqref="S3:S13 L14">
    <cfRule type="cellIs" dxfId="10" priority="6" operator="lessThan">
      <formula>64</formula>
    </cfRule>
  </conditionalFormatting>
  <conditionalFormatting sqref="V3:V13">
    <cfRule type="cellIs" dxfId="9" priority="4" operator="greaterThan">
      <formula>1</formula>
    </cfRule>
  </conditionalFormatting>
  <conditionalFormatting sqref="Y3:Y13">
    <cfRule type="containsText" dxfId="8" priority="2" operator="containsText" text="신규">
      <formula>NOT(ISERROR(SEARCH("신규",Y3)))</formula>
    </cfRule>
    <cfRule type="containsText" dxfId="7" priority="3" operator="containsText" text="고령">
      <formula>NOT(ISERROR(SEARCH("고령",Y3)))</formula>
    </cfRule>
  </conditionalFormatting>
  <pageMargins left="0" right="0" top="0.43307086614173229" bottom="0.15748031496062992" header="0.19685039370078741" footer="0.11811023622047245"/>
  <pageSetup paperSize="9" scale="61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10</vt:i4>
      </vt:variant>
    </vt:vector>
  </HeadingPairs>
  <TitlesOfParts>
    <vt:vector size="17" baseType="lpstr">
      <vt:lpstr>2023</vt:lpstr>
      <vt:lpstr>2024</vt:lpstr>
      <vt:lpstr>2025</vt:lpstr>
      <vt:lpstr>2026</vt:lpstr>
      <vt:lpstr>Sheet1</vt:lpstr>
      <vt:lpstr>작업별 사고분석</vt:lpstr>
      <vt:lpstr>롯데바이오</vt:lpstr>
      <vt:lpstr>'2023'!Print_Area</vt:lpstr>
      <vt:lpstr>'2024'!Print_Area</vt:lpstr>
      <vt:lpstr>'2025'!Print_Area</vt:lpstr>
      <vt:lpstr>'2026'!Print_Area</vt:lpstr>
      <vt:lpstr>롯데바이오!Print_Area</vt:lpstr>
      <vt:lpstr>'2023'!Print_Titles</vt:lpstr>
      <vt:lpstr>'2024'!Print_Titles</vt:lpstr>
      <vt:lpstr>'2025'!Print_Titles</vt:lpstr>
      <vt:lpstr>'2026'!Print_Titles</vt:lpstr>
      <vt:lpstr>롯데바이오!Print_Titles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정상익</dc:creator>
  <cp:lastModifiedBy>정상익</cp:lastModifiedBy>
  <cp:lastPrinted>2026-02-06T10:00:39Z</cp:lastPrinted>
  <dcterms:created xsi:type="dcterms:W3CDTF">2015-06-05T18:19:34Z</dcterms:created>
  <dcterms:modified xsi:type="dcterms:W3CDTF">2026-02-25T02:59:10Z</dcterms:modified>
</cp:coreProperties>
</file>