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4. 안전보건관리실\012 표준 양식 (넘버링 전)\현장 안전서류양식\02. 안전점검\"/>
    </mc:Choice>
  </mc:AlternateContent>
  <xr:revisionPtr revIDLastSave="0" documentId="8_{E778E41E-F33C-40A4-8391-23791ECAA03C}" xr6:coauthVersionLast="45" xr6:coauthVersionMax="45" xr10:uidLastSave="{00000000-0000-0000-0000-000000000000}"/>
  <bookViews>
    <workbookView xWindow="-120" yWindow="-120" windowWidth="29040" windowHeight="15840" xr2:uid="{6D8117EC-FCE3-4B6A-A452-2797919C2249}"/>
  </bookViews>
  <sheets>
    <sheet name="Sheet1" sheetId="1" r:id="rId1"/>
  </sheets>
  <externalReferences>
    <externalReference r:id="rId2"/>
  </externalReferences>
  <definedNames>
    <definedName name="_xlnm.Print_Area" localSheetId="0">Sheet1!$B$1:$J$32</definedName>
    <definedName name="작업사항">[1]작업사항!$A$3:$C$19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3" i="1" l="1"/>
  <c r="C21" i="1"/>
  <c r="C20" i="1"/>
  <c r="C19" i="1"/>
  <c r="C18" i="1"/>
  <c r="C17" i="1"/>
  <c r="C16" i="1"/>
  <c r="I9" i="1"/>
  <c r="G9" i="1"/>
  <c r="E9" i="1"/>
  <c r="E8" i="1"/>
</calcChain>
</file>

<file path=xl/sharedStrings.xml><?xml version="1.0" encoding="utf-8"?>
<sst xmlns="http://schemas.openxmlformats.org/spreadsheetml/2006/main" count="47" uniqueCount="45">
  <si>
    <t>일 일 안 전 일 지</t>
    <phoneticPr fontId="3" type="noConversion"/>
  </si>
  <si>
    <t>제주 The-k호텔 리모델링 공사</t>
    <phoneticPr fontId="3" type="noConversion"/>
  </si>
  <si>
    <t>결
재</t>
    <phoneticPr fontId="3" type="noConversion"/>
  </si>
  <si>
    <t>담 당</t>
    <phoneticPr fontId="3" type="noConversion"/>
  </si>
  <si>
    <t>안전관리자</t>
    <phoneticPr fontId="3" type="noConversion"/>
  </si>
  <si>
    <t>현장소장</t>
    <phoneticPr fontId="3" type="noConversion"/>
  </si>
  <si>
    <t>맑음</t>
    <phoneticPr fontId="3" type="noConversion"/>
  </si>
  <si>
    <t>출 력
인 원</t>
    <phoneticPr fontId="3" type="noConversion"/>
  </si>
  <si>
    <t>구분</t>
    <phoneticPr fontId="3" type="noConversion"/>
  </si>
  <si>
    <t>합계</t>
    <phoneticPr fontId="3" type="noConversion"/>
  </si>
  <si>
    <t>관 리 직</t>
    <phoneticPr fontId="3" type="noConversion"/>
  </si>
  <si>
    <t>작 업 자</t>
    <phoneticPr fontId="3" type="noConversion"/>
  </si>
  <si>
    <t>일계</t>
    <phoneticPr fontId="3" type="noConversion"/>
  </si>
  <si>
    <t>전일계</t>
    <phoneticPr fontId="3" type="noConversion"/>
  </si>
  <si>
    <t>누계</t>
    <phoneticPr fontId="3" type="noConversion"/>
  </si>
  <si>
    <t>금 일
주 요
작 업
및
주 의
사 항</t>
    <phoneticPr fontId="3" type="noConversion"/>
  </si>
  <si>
    <t>금일 주요작업</t>
    <phoneticPr fontId="3" type="noConversion"/>
  </si>
  <si>
    <t>주의사항</t>
    <phoneticPr fontId="3" type="noConversion"/>
  </si>
  <si>
    <t>지상층/지하층 철거구간 현장확인</t>
    <phoneticPr fontId="3" type="noConversion"/>
  </si>
  <si>
    <r>
      <t>#감전 방지
전원 차단 및 잠금장치 확인.
절연 장비 착용 필수.
누전차단기 및 접지 점검.
#추락 사고 방지
높은 곳 작업 시 안전대 착용.
사다리</t>
    </r>
    <r>
      <rPr>
        <sz val="11"/>
        <rFont val="Calibri"/>
        <family val="2"/>
      </rPr>
      <t>·</t>
    </r>
    <r>
      <rPr>
        <sz val="11"/>
        <rFont val="휴먼모음T"/>
        <family val="1"/>
        <charset val="129"/>
      </rPr>
      <t>발판 안전 점검.
#협착</t>
    </r>
    <r>
      <rPr>
        <sz val="11"/>
        <rFont val="Calibri"/>
        <family val="2"/>
      </rPr>
      <t>·</t>
    </r>
    <r>
      <rPr>
        <sz val="11"/>
        <rFont val="휴먼모음T"/>
        <family val="1"/>
        <charset val="129"/>
      </rPr>
      <t>낙하물 방지
공구</t>
    </r>
    <r>
      <rPr>
        <sz val="11"/>
        <rFont val="Calibri"/>
        <family val="2"/>
      </rPr>
      <t>·</t>
    </r>
    <r>
      <rPr>
        <sz val="11"/>
        <rFont val="휴먼모음T"/>
        <family val="1"/>
        <charset val="129"/>
      </rPr>
      <t xml:space="preserve">자재 정리 및 고정.
</t>
    </r>
    <phoneticPr fontId="3" type="noConversion"/>
  </si>
  <si>
    <t>#화재·폭발 방지
가연성 물질 주변 작업 금지.
용접 시 소화기 준비.
인화성 물질 제거.
#작업 환경 관리
충분한 조명 설치.
습기 환경 절연 점검.
바닥 물기 제거.
#기타
작업 중 휴대폰 사용 금지.
비상 대피 경로 숙지.
사고 즉시 보고 및 응급조치.</t>
    <phoneticPr fontId="3" type="noConversion"/>
  </si>
  <si>
    <t>안 전
교 육</t>
    <phoneticPr fontId="3" type="noConversion"/>
  </si>
  <si>
    <t>교육 구분</t>
    <phoneticPr fontId="3" type="noConversion"/>
  </si>
  <si>
    <t>교육인원</t>
    <phoneticPr fontId="3" type="noConversion"/>
  </si>
  <si>
    <t>교육시간</t>
    <phoneticPr fontId="3" type="noConversion"/>
  </si>
  <si>
    <t>교육내용</t>
    <phoneticPr fontId="3" type="noConversion"/>
  </si>
  <si>
    <t>안전교육 및 보건체조</t>
    <phoneticPr fontId="3" type="noConversion"/>
  </si>
  <si>
    <t>0.5시간</t>
    <phoneticPr fontId="3" type="noConversion"/>
  </si>
  <si>
    <t>안전사항 공지 및 위험작업 주의사항 주지</t>
    <phoneticPr fontId="3" type="noConversion"/>
  </si>
  <si>
    <t>신규자 안전보건 교육</t>
    <phoneticPr fontId="3" type="noConversion"/>
  </si>
  <si>
    <t>9명</t>
    <phoneticPr fontId="3" type="noConversion"/>
  </si>
  <si>
    <t>2시간</t>
    <phoneticPr fontId="3" type="noConversion"/>
  </si>
  <si>
    <t>안전수칙 공유 및 사고사례 전파</t>
    <phoneticPr fontId="3" type="noConversion"/>
  </si>
  <si>
    <t xml:space="preserve">특별안전교육 </t>
    <phoneticPr fontId="3" type="noConversion"/>
  </si>
  <si>
    <t>고소작업대 사용시 안전수칙 전파</t>
    <phoneticPr fontId="3" type="noConversion"/>
  </si>
  <si>
    <t>특이사항 및 지적사항</t>
    <phoneticPr fontId="3" type="noConversion"/>
  </si>
  <si>
    <t>재 해
현 황</t>
    <phoneticPr fontId="3" type="noConversion"/>
  </si>
  <si>
    <t>성   명</t>
    <phoneticPr fontId="3" type="noConversion"/>
  </si>
  <si>
    <t>주민등록번호</t>
    <phoneticPr fontId="3" type="noConversion"/>
  </si>
  <si>
    <t>직종</t>
    <phoneticPr fontId="3" type="noConversion"/>
  </si>
  <si>
    <t>사고발생 개요</t>
    <phoneticPr fontId="3" type="noConversion"/>
  </si>
  <si>
    <t>조치 및 전망</t>
    <phoneticPr fontId="3" type="noConversion"/>
  </si>
  <si>
    <t>날   씨 :</t>
    <phoneticPr fontId="3" type="noConversion"/>
  </si>
  <si>
    <t>날   짜 :</t>
    <phoneticPr fontId="3" type="noConversion"/>
  </si>
  <si>
    <t>현 장 명 :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</si>
</sst>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$-F800]dddd\,\ mmmm\ dd\,\ yyyy"/>
    <numFmt numFmtId="177" formatCode="General&quot;명&quot;"/>
  </numFmts>
  <fonts count="11" x14ac:knownFonts="1">
    <font>
      <sz val="11"/>
      <color theme="1"/>
      <name val="맑은 고딕"/>
      <family val="2"/>
      <charset val="129"/>
      <scheme val="minor"/>
    </font>
    <font>
      <b/>
      <sz val="20"/>
      <name val="휴먼모음T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0"/>
      <name val="휴먼모음T"/>
      <family val="1"/>
      <charset val="129"/>
    </font>
    <font>
      <sz val="10"/>
      <name val="휴먼모음T"/>
      <family val="1"/>
      <charset val="129"/>
    </font>
    <font>
      <sz val="9"/>
      <name val="휴먼모음T"/>
      <family val="1"/>
      <charset val="129"/>
    </font>
    <font>
      <sz val="11"/>
      <name val="휴먼모음T"/>
      <family val="1"/>
      <charset val="129"/>
    </font>
    <font>
      <sz val="11"/>
      <name val="Calibri"/>
      <family val="2"/>
    </font>
    <font>
      <sz val="7"/>
      <name val="휴먼모음T"/>
      <family val="1"/>
      <charset val="129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76" fontId="6" fillId="0" borderId="0" xfId="0" applyNumberFormat="1" applyFont="1" applyAlignment="1">
      <alignment horizontal="left" vertical="center"/>
    </xf>
    <xf numFmtId="0" fontId="6" fillId="0" borderId="8" xfId="0" applyFont="1" applyBorder="1">
      <alignment vertic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77" fontId="6" fillId="0" borderId="16" xfId="0" applyNumberFormat="1" applyFont="1" applyBorder="1" applyAlignment="1">
      <alignment horizontal="center" vertical="center"/>
    </xf>
    <xf numFmtId="177" fontId="6" fillId="0" borderId="17" xfId="0" applyNumberFormat="1" applyFont="1" applyBorder="1" applyAlignment="1">
      <alignment horizontal="center" vertical="center"/>
    </xf>
    <xf numFmtId="177" fontId="6" fillId="0" borderId="18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1" fontId="5" fillId="0" borderId="20" xfId="0" applyNumberFormat="1" applyFont="1" applyBorder="1" applyAlignment="1">
      <alignment horizontal="center" vertical="center"/>
    </xf>
    <xf numFmtId="41" fontId="5" fillId="0" borderId="18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4" fillId="0" borderId="26" xfId="0" applyFont="1" applyBorder="1" applyAlignment="1"/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 wrapText="1"/>
    </xf>
    <xf numFmtId="0" fontId="10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10" fillId="0" borderId="32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77" fontId="7" fillId="0" borderId="35" xfId="0" applyNumberFormat="1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7" fillId="0" borderId="36" xfId="0" applyFont="1" applyBorder="1">
      <alignment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6" fillId="0" borderId="3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41" fontId="7" fillId="0" borderId="21" xfId="0" applyNumberFormat="1" applyFont="1" applyBorder="1" applyAlignment="1">
      <alignment horizontal="left" vertical="center"/>
    </xf>
    <xf numFmtId="41" fontId="7" fillId="0" borderId="22" xfId="0" applyNumberFormat="1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41" fontId="7" fillId="0" borderId="27" xfId="0" applyNumberFormat="1" applyFont="1" applyBorder="1" applyAlignment="1">
      <alignment horizontal="left" vertical="center"/>
    </xf>
    <xf numFmtId="41" fontId="7" fillId="0" borderId="28" xfId="0" applyNumberFormat="1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10\Downloads\NAVER%20WORKS\&#51228;&#51452;The-K&#54840;&#53588;%20&#50504;&#51204;%20&#49692;&#54924;&#51216;&#44160;&#51068;&#5164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일안전일지"/>
      <sheetName val="순회점검일지_23.05"/>
      <sheetName val="Sheet4"/>
      <sheetName val="Sheet1"/>
      <sheetName val="Sheet2"/>
      <sheetName val="작업사항"/>
      <sheetName val="월간합동점검 체크리스트"/>
      <sheetName val="주간합동점검 체크리스트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A3">
            <v>1</v>
          </cell>
          <cell r="B3" t="str">
            <v>레이스웨이및 조명기구 설치</v>
          </cell>
          <cell r="C3" t="str">
            <v>사다리, 말비계 사용시 안전수칙 준수</v>
          </cell>
        </row>
        <row r="4">
          <cell r="A4">
            <v>2</v>
          </cell>
          <cell r="B4" t="str">
            <v>케이블트레이 설치</v>
          </cell>
          <cell r="C4" t="str">
            <v>사다리 사용시 안전수칙 준수</v>
          </cell>
        </row>
        <row r="5">
          <cell r="A5">
            <v>3</v>
          </cell>
          <cell r="B5" t="str">
            <v>강제전선관 배관</v>
          </cell>
          <cell r="C5" t="str">
            <v>말비계 사용시 안전수칙 준수</v>
          </cell>
        </row>
        <row r="6">
          <cell r="A6">
            <v>4</v>
          </cell>
          <cell r="B6" t="str">
            <v>전력간선 케이블포설</v>
          </cell>
          <cell r="C6" t="str">
            <v>이동 전선의 피복손상 여부 및 유지 관리상태</v>
          </cell>
        </row>
        <row r="7">
          <cell r="A7">
            <v>5</v>
          </cell>
          <cell r="B7" t="str">
            <v>분전반 설치</v>
          </cell>
          <cell r="C7" t="str">
            <v>작업발판 설치 및 관리상태 확인</v>
          </cell>
        </row>
        <row r="8">
          <cell r="A8">
            <v>6</v>
          </cell>
          <cell r="B8" t="str">
            <v>전등및 전열등 배선</v>
          </cell>
          <cell r="C8" t="str">
            <v>근로자들 보호구 착용 준수</v>
          </cell>
        </row>
        <row r="9">
          <cell r="A9">
            <v>7</v>
          </cell>
          <cell r="B9" t="str">
            <v>단말처리 작업</v>
          </cell>
          <cell r="C9" t="str">
            <v>충전부 접촉에 의한 감전주의</v>
          </cell>
        </row>
        <row r="10">
          <cell r="A10">
            <v>8</v>
          </cell>
          <cell r="B10" t="str">
            <v>부스덕트 설치</v>
          </cell>
        </row>
        <row r="11">
          <cell r="A11">
            <v>9</v>
          </cell>
          <cell r="B11" t="str">
            <v>등전위 접지작업</v>
          </cell>
        </row>
        <row r="12">
          <cell r="A12">
            <v>10</v>
          </cell>
          <cell r="B12" t="str">
            <v>컨베이어 분전반 접지및 단말처리 작업</v>
          </cell>
        </row>
        <row r="13">
          <cell r="A13">
            <v>11</v>
          </cell>
          <cell r="B13" t="str">
            <v>전등설비 회로구성 배관배선 작업</v>
          </cell>
        </row>
        <row r="14">
          <cell r="A14">
            <v>12</v>
          </cell>
          <cell r="B14" t="str">
            <v>트레이 헹거 설치</v>
          </cell>
        </row>
        <row r="15">
          <cell r="A15">
            <v>13</v>
          </cell>
        </row>
        <row r="16">
          <cell r="A16">
            <v>14</v>
          </cell>
        </row>
        <row r="17">
          <cell r="A17">
            <v>15</v>
          </cell>
        </row>
        <row r="18">
          <cell r="A18">
            <v>16</v>
          </cell>
        </row>
        <row r="19">
          <cell r="A19">
            <v>17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4E76-F560-4826-98F8-B19DDB5214D7}">
  <sheetPr>
    <pageSetUpPr fitToPage="1"/>
  </sheetPr>
  <dimension ref="B1:M32"/>
  <sheetViews>
    <sheetView tabSelected="1" zoomScale="115" zoomScaleNormal="115" workbookViewId="0">
      <selection activeCell="N5" sqref="N5"/>
    </sheetView>
  </sheetViews>
  <sheetFormatPr defaultRowHeight="16.5" x14ac:dyDescent="0.3"/>
  <cols>
    <col min="1" max="1" width="3.875" customWidth="1"/>
  </cols>
  <sheetData>
    <row r="1" spans="2:13" s="2" customFormat="1" ht="24.95" customHeight="1" x14ac:dyDescent="0.15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3" s="2" customFormat="1" ht="24.95" customHeight="1" thickBot="1" x14ac:dyDescent="0.2">
      <c r="B2" s="1"/>
      <c r="C2" s="1"/>
      <c r="D2" s="1"/>
      <c r="E2" s="1"/>
      <c r="F2" s="1"/>
      <c r="G2" s="1"/>
      <c r="H2" s="1"/>
      <c r="I2" s="1"/>
      <c r="J2" s="1"/>
    </row>
    <row r="3" spans="2:13" s="2" customFormat="1" ht="24.95" customHeight="1" x14ac:dyDescent="0.15">
      <c r="B3" s="3" t="s">
        <v>44</v>
      </c>
      <c r="C3" s="4" t="s">
        <v>1</v>
      </c>
      <c r="D3" s="4"/>
      <c r="E3" s="4"/>
      <c r="F3" s="4"/>
      <c r="G3" s="5" t="s">
        <v>2</v>
      </c>
      <c r="H3" s="6" t="s">
        <v>3</v>
      </c>
      <c r="I3" s="6" t="s">
        <v>4</v>
      </c>
      <c r="J3" s="7" t="s">
        <v>5</v>
      </c>
    </row>
    <row r="4" spans="2:13" s="2" customFormat="1" ht="24.95" customHeight="1" x14ac:dyDescent="0.15">
      <c r="B4" s="3" t="s">
        <v>42</v>
      </c>
      <c r="C4" s="8" t="s">
        <v>6</v>
      </c>
      <c r="D4" s="8"/>
      <c r="E4" s="8"/>
      <c r="F4" s="4"/>
      <c r="G4" s="9"/>
      <c r="H4" s="10"/>
      <c r="I4" s="11"/>
      <c r="J4" s="12"/>
    </row>
    <row r="5" spans="2:13" s="2" customFormat="1" ht="24.95" customHeight="1" thickBot="1" x14ac:dyDescent="0.2">
      <c r="B5" s="3" t="s">
        <v>43</v>
      </c>
      <c r="C5" s="13">
        <v>45661</v>
      </c>
      <c r="D5" s="13"/>
      <c r="E5" s="13"/>
      <c r="F5" s="14"/>
      <c r="G5" s="9"/>
      <c r="H5" s="15"/>
      <c r="I5" s="16"/>
      <c r="J5" s="17"/>
    </row>
    <row r="6" spans="2:13" s="2" customFormat="1" ht="24.95" customHeight="1" x14ac:dyDescent="0.15">
      <c r="B6" s="18" t="s">
        <v>7</v>
      </c>
      <c r="C6" s="19" t="s">
        <v>8</v>
      </c>
      <c r="D6" s="20"/>
      <c r="E6" s="21" t="s">
        <v>9</v>
      </c>
      <c r="F6" s="21"/>
      <c r="G6" s="21" t="s">
        <v>10</v>
      </c>
      <c r="H6" s="21"/>
      <c r="I6" s="21" t="s">
        <v>11</v>
      </c>
      <c r="J6" s="22"/>
    </row>
    <row r="7" spans="2:13" s="2" customFormat="1" ht="24.95" customHeight="1" x14ac:dyDescent="0.15">
      <c r="B7" s="23"/>
      <c r="C7" s="24" t="s">
        <v>12</v>
      </c>
      <c r="D7" s="25"/>
      <c r="E7" s="26">
        <v>12</v>
      </c>
      <c r="F7" s="27"/>
      <c r="G7" s="26">
        <v>4</v>
      </c>
      <c r="H7" s="27"/>
      <c r="I7" s="26">
        <v>8</v>
      </c>
      <c r="J7" s="28"/>
    </row>
    <row r="8" spans="2:13" s="2" customFormat="1" ht="24.95" customHeight="1" x14ac:dyDescent="0.15">
      <c r="B8" s="23"/>
      <c r="C8" s="24" t="s">
        <v>13</v>
      </c>
      <c r="D8" s="25"/>
      <c r="E8" s="26">
        <f>G8+I8</f>
        <v>0</v>
      </c>
      <c r="F8" s="27"/>
      <c r="G8" s="26">
        <v>0</v>
      </c>
      <c r="H8" s="27"/>
      <c r="I8" s="26">
        <v>0</v>
      </c>
      <c r="J8" s="28"/>
    </row>
    <row r="9" spans="2:13" s="2" customFormat="1" ht="24.95" customHeight="1" x14ac:dyDescent="0.15">
      <c r="B9" s="29"/>
      <c r="C9" s="24" t="s">
        <v>14</v>
      </c>
      <c r="D9" s="25"/>
      <c r="E9" s="26">
        <f>G9+I9</f>
        <v>12</v>
      </c>
      <c r="F9" s="27"/>
      <c r="G9" s="26">
        <f>G8+G7</f>
        <v>4</v>
      </c>
      <c r="H9" s="27"/>
      <c r="I9" s="26">
        <f>I8+I7</f>
        <v>8</v>
      </c>
      <c r="J9" s="28"/>
    </row>
    <row r="10" spans="2:13" s="2" customFormat="1" ht="24.95" customHeight="1" x14ac:dyDescent="0.15">
      <c r="B10" s="30" t="s">
        <v>15</v>
      </c>
      <c r="C10" s="31" t="s">
        <v>16</v>
      </c>
      <c r="D10" s="32"/>
      <c r="E10" s="32"/>
      <c r="F10" s="33"/>
      <c r="G10" s="34" t="s">
        <v>17</v>
      </c>
      <c r="H10" s="34"/>
      <c r="I10" s="34"/>
      <c r="J10" s="35"/>
    </row>
    <row r="11" spans="2:13" s="2" customFormat="1" ht="24.95" customHeight="1" x14ac:dyDescent="0.15">
      <c r="B11" s="36"/>
      <c r="C11" s="37" t="s">
        <v>18</v>
      </c>
      <c r="D11" s="38"/>
      <c r="E11" s="38"/>
      <c r="F11" s="39"/>
      <c r="G11" s="40" t="s">
        <v>19</v>
      </c>
      <c r="H11" s="41"/>
      <c r="I11" s="40" t="s">
        <v>20</v>
      </c>
      <c r="J11" s="42"/>
      <c r="L11" s="43">
        <v>7</v>
      </c>
      <c r="M11" s="43">
        <v>1</v>
      </c>
    </row>
    <row r="12" spans="2:13" s="2" customFormat="1" ht="24.95" customHeight="1" x14ac:dyDescent="0.15">
      <c r="B12" s="36"/>
      <c r="C12" s="44"/>
      <c r="D12" s="45"/>
      <c r="E12" s="45"/>
      <c r="F12" s="46"/>
      <c r="G12" s="47"/>
      <c r="H12" s="48"/>
      <c r="I12" s="49"/>
      <c r="J12" s="50"/>
      <c r="L12" s="43">
        <v>9</v>
      </c>
      <c r="M12" s="43">
        <v>2</v>
      </c>
    </row>
    <row r="13" spans="2:13" s="2" customFormat="1" ht="24.95" customHeight="1" x14ac:dyDescent="0.15">
      <c r="B13" s="36"/>
      <c r="C13" s="44"/>
      <c r="D13" s="45"/>
      <c r="E13" s="45"/>
      <c r="F13" s="46"/>
      <c r="G13" s="47"/>
      <c r="H13" s="48"/>
      <c r="I13" s="49"/>
      <c r="J13" s="50"/>
      <c r="L13" s="43">
        <v>10</v>
      </c>
      <c r="M13" s="43">
        <v>3</v>
      </c>
    </row>
    <row r="14" spans="2:13" s="2" customFormat="1" ht="24.95" customHeight="1" x14ac:dyDescent="0.15">
      <c r="B14" s="36"/>
      <c r="C14" s="44"/>
      <c r="D14" s="45"/>
      <c r="E14" s="45"/>
      <c r="F14" s="46"/>
      <c r="G14" s="47"/>
      <c r="H14" s="48"/>
      <c r="I14" s="49"/>
      <c r="J14" s="50"/>
      <c r="L14" s="43">
        <v>11</v>
      </c>
      <c r="M14" s="43">
        <v>4</v>
      </c>
    </row>
    <row r="15" spans="2:13" s="2" customFormat="1" ht="24.95" customHeight="1" x14ac:dyDescent="0.15">
      <c r="B15" s="36"/>
      <c r="C15" s="44"/>
      <c r="D15" s="45"/>
      <c r="E15" s="45"/>
      <c r="F15" s="46"/>
      <c r="G15" s="47"/>
      <c r="H15" s="48"/>
      <c r="I15" s="49"/>
      <c r="J15" s="50"/>
      <c r="L15" s="43"/>
      <c r="M15" s="43">
        <v>6</v>
      </c>
    </row>
    <row r="16" spans="2:13" s="2" customFormat="1" ht="24.95" customHeight="1" x14ac:dyDescent="0.15">
      <c r="B16" s="36"/>
      <c r="C16" s="44" t="str">
        <f t="shared" ref="C16:C21" si="0">IF(ISBLANK($L16),"",VLOOKUP($L16,작업사항,2))</f>
        <v/>
      </c>
      <c r="D16" s="45"/>
      <c r="E16" s="45"/>
      <c r="F16" s="46"/>
      <c r="G16" s="47"/>
      <c r="H16" s="48"/>
      <c r="I16" s="49"/>
      <c r="J16" s="50"/>
      <c r="L16" s="43"/>
      <c r="M16" s="43"/>
    </row>
    <row r="17" spans="2:13" s="2" customFormat="1" ht="24.95" customHeight="1" x14ac:dyDescent="0.15">
      <c r="B17" s="36"/>
      <c r="C17" s="44" t="str">
        <f t="shared" si="0"/>
        <v/>
      </c>
      <c r="D17" s="45"/>
      <c r="E17" s="45"/>
      <c r="F17" s="46"/>
      <c r="G17" s="47"/>
      <c r="H17" s="48"/>
      <c r="I17" s="49"/>
      <c r="J17" s="50"/>
      <c r="L17" s="43"/>
      <c r="M17" s="43"/>
    </row>
    <row r="18" spans="2:13" s="2" customFormat="1" ht="24.95" customHeight="1" x14ac:dyDescent="0.15">
      <c r="B18" s="36"/>
      <c r="C18" s="44" t="str">
        <f t="shared" si="0"/>
        <v/>
      </c>
      <c r="D18" s="45"/>
      <c r="E18" s="45"/>
      <c r="F18" s="46"/>
      <c r="G18" s="47"/>
      <c r="H18" s="48"/>
      <c r="I18" s="49"/>
      <c r="J18" s="50"/>
      <c r="L18" s="43"/>
      <c r="M18" s="43"/>
    </row>
    <row r="19" spans="2:13" s="2" customFormat="1" ht="24.95" customHeight="1" x14ac:dyDescent="0.15">
      <c r="B19" s="36"/>
      <c r="C19" s="44" t="str">
        <f t="shared" si="0"/>
        <v/>
      </c>
      <c r="D19" s="45"/>
      <c r="E19" s="45"/>
      <c r="F19" s="46"/>
      <c r="G19" s="47"/>
      <c r="H19" s="48"/>
      <c r="I19" s="49"/>
      <c r="J19" s="50"/>
      <c r="L19" s="43"/>
      <c r="M19" s="43"/>
    </row>
    <row r="20" spans="2:13" s="2" customFormat="1" ht="24.95" customHeight="1" x14ac:dyDescent="0.15">
      <c r="B20" s="36"/>
      <c r="C20" s="44" t="str">
        <f t="shared" si="0"/>
        <v/>
      </c>
      <c r="D20" s="45"/>
      <c r="E20" s="45"/>
      <c r="F20" s="46"/>
      <c r="G20" s="47"/>
      <c r="H20" s="48"/>
      <c r="I20" s="49"/>
      <c r="J20" s="50"/>
      <c r="L20" s="43"/>
      <c r="M20" s="43"/>
    </row>
    <row r="21" spans="2:13" s="2" customFormat="1" ht="24.95" customHeight="1" x14ac:dyDescent="0.15">
      <c r="B21" s="51"/>
      <c r="C21" s="52" t="str">
        <f t="shared" si="0"/>
        <v/>
      </c>
      <c r="D21" s="53"/>
      <c r="E21" s="53"/>
      <c r="F21" s="54"/>
      <c r="G21" s="55"/>
      <c r="H21" s="56"/>
      <c r="I21" s="57"/>
      <c r="J21" s="58"/>
      <c r="L21" s="43"/>
      <c r="M21" s="43"/>
    </row>
    <row r="22" spans="2:13" s="2" customFormat="1" ht="24.95" customHeight="1" x14ac:dyDescent="0.15">
      <c r="B22" s="30" t="s">
        <v>21</v>
      </c>
      <c r="C22" s="59" t="s">
        <v>22</v>
      </c>
      <c r="D22" s="60"/>
      <c r="E22" s="61" t="s">
        <v>23</v>
      </c>
      <c r="F22" s="61" t="s">
        <v>24</v>
      </c>
      <c r="G22" s="62" t="s">
        <v>25</v>
      </c>
      <c r="H22" s="62"/>
      <c r="I22" s="62"/>
      <c r="J22" s="63"/>
    </row>
    <row r="23" spans="2:13" s="2" customFormat="1" ht="24.95" customHeight="1" x14ac:dyDescent="0.15">
      <c r="B23" s="36"/>
      <c r="C23" s="37" t="s">
        <v>26</v>
      </c>
      <c r="D23" s="39"/>
      <c r="E23" s="64">
        <f>E7</f>
        <v>12</v>
      </c>
      <c r="F23" s="65" t="s">
        <v>27</v>
      </c>
      <c r="G23" s="66" t="s">
        <v>28</v>
      </c>
      <c r="H23" s="67"/>
      <c r="I23" s="67"/>
      <c r="J23" s="68"/>
    </row>
    <row r="24" spans="2:13" s="2" customFormat="1" ht="24.95" customHeight="1" x14ac:dyDescent="0.15">
      <c r="B24" s="36"/>
      <c r="C24" s="69" t="s">
        <v>29</v>
      </c>
      <c r="D24" s="70"/>
      <c r="E24" s="71" t="s">
        <v>30</v>
      </c>
      <c r="F24" s="71" t="s">
        <v>31</v>
      </c>
      <c r="G24" s="72" t="s">
        <v>32</v>
      </c>
      <c r="H24" s="73"/>
      <c r="I24" s="73"/>
      <c r="J24" s="74"/>
    </row>
    <row r="25" spans="2:13" s="2" customFormat="1" ht="24.95" customHeight="1" x14ac:dyDescent="0.15">
      <c r="B25" s="29"/>
      <c r="C25" s="75" t="s">
        <v>33</v>
      </c>
      <c r="D25" s="76"/>
      <c r="E25" s="77" t="s">
        <v>30</v>
      </c>
      <c r="F25" s="77" t="s">
        <v>31</v>
      </c>
      <c r="G25" s="78" t="s">
        <v>34</v>
      </c>
      <c r="H25" s="78"/>
      <c r="I25" s="78"/>
      <c r="J25" s="79"/>
    </row>
    <row r="26" spans="2:13" s="2" customFormat="1" ht="24.95" customHeight="1" x14ac:dyDescent="0.15">
      <c r="B26" s="30" t="s">
        <v>35</v>
      </c>
      <c r="C26" s="80"/>
      <c r="D26" s="81"/>
      <c r="E26" s="81"/>
      <c r="F26" s="81"/>
      <c r="G26" s="82"/>
      <c r="H26" s="82"/>
      <c r="I26" s="82"/>
      <c r="J26" s="83"/>
    </row>
    <row r="27" spans="2:13" s="2" customFormat="1" ht="24.95" customHeight="1" x14ac:dyDescent="0.15">
      <c r="B27" s="36"/>
      <c r="C27" s="84"/>
      <c r="D27" s="85"/>
      <c r="E27" s="85"/>
      <c r="F27" s="85"/>
      <c r="G27" s="45"/>
      <c r="H27" s="45"/>
      <c r="I27" s="45"/>
      <c r="J27" s="86"/>
    </row>
    <row r="28" spans="2:13" s="2" customFormat="1" ht="24.95" customHeight="1" x14ac:dyDescent="0.15">
      <c r="B28" s="36"/>
      <c r="C28" s="44"/>
      <c r="D28" s="45"/>
      <c r="E28" s="45"/>
      <c r="F28" s="45"/>
      <c r="G28" s="45"/>
      <c r="H28" s="45"/>
      <c r="I28" s="45"/>
      <c r="J28" s="86"/>
    </row>
    <row r="29" spans="2:13" s="2" customFormat="1" ht="24.95" customHeight="1" x14ac:dyDescent="0.15">
      <c r="B29" s="29"/>
      <c r="C29" s="44"/>
      <c r="D29" s="45"/>
      <c r="E29" s="45"/>
      <c r="F29" s="45"/>
      <c r="G29" s="45"/>
      <c r="H29" s="45"/>
      <c r="I29" s="45"/>
      <c r="J29" s="86"/>
    </row>
    <row r="30" spans="2:13" s="2" customFormat="1" ht="24.95" customHeight="1" x14ac:dyDescent="0.15">
      <c r="B30" s="30" t="s">
        <v>36</v>
      </c>
      <c r="C30" s="87" t="s">
        <v>37</v>
      </c>
      <c r="D30" s="24" t="s">
        <v>38</v>
      </c>
      <c r="E30" s="25"/>
      <c r="F30" s="88" t="s">
        <v>39</v>
      </c>
      <c r="G30" s="24" t="s">
        <v>40</v>
      </c>
      <c r="H30" s="25"/>
      <c r="I30" s="24" t="s">
        <v>41</v>
      </c>
      <c r="J30" s="89"/>
    </row>
    <row r="31" spans="2:13" s="2" customFormat="1" ht="24.95" customHeight="1" x14ac:dyDescent="0.15">
      <c r="B31" s="36"/>
      <c r="C31" s="90"/>
      <c r="D31" s="91"/>
      <c r="E31" s="92"/>
      <c r="F31" s="93"/>
      <c r="G31" s="91"/>
      <c r="H31" s="92"/>
      <c r="I31" s="91"/>
      <c r="J31" s="94"/>
    </row>
    <row r="32" spans="2:13" s="2" customFormat="1" ht="24.95" customHeight="1" thickBot="1" x14ac:dyDescent="0.2">
      <c r="B32" s="95"/>
      <c r="C32" s="96"/>
      <c r="D32" s="97"/>
      <c r="E32" s="98"/>
      <c r="F32" s="14"/>
      <c r="G32" s="97"/>
      <c r="H32" s="98"/>
      <c r="I32" s="97"/>
      <c r="J32" s="99"/>
    </row>
  </sheetData>
  <mergeCells count="68">
    <mergeCell ref="B30:B32"/>
    <mergeCell ref="D30:E30"/>
    <mergeCell ref="G30:H30"/>
    <mergeCell ref="I30:J30"/>
    <mergeCell ref="D31:E31"/>
    <mergeCell ref="G31:H31"/>
    <mergeCell ref="I31:J31"/>
    <mergeCell ref="D32:E32"/>
    <mergeCell ref="G32:H32"/>
    <mergeCell ref="I32:J32"/>
    <mergeCell ref="B26:B29"/>
    <mergeCell ref="C26:F26"/>
    <mergeCell ref="G26:J26"/>
    <mergeCell ref="C27:F27"/>
    <mergeCell ref="G27:J27"/>
    <mergeCell ref="C28:F28"/>
    <mergeCell ref="G28:J28"/>
    <mergeCell ref="C29:F29"/>
    <mergeCell ref="G29:J29"/>
    <mergeCell ref="B22:B25"/>
    <mergeCell ref="C22:D22"/>
    <mergeCell ref="G22:J22"/>
    <mergeCell ref="C23:D23"/>
    <mergeCell ref="G23:J23"/>
    <mergeCell ref="C24:D24"/>
    <mergeCell ref="G24:J24"/>
    <mergeCell ref="C25:D25"/>
    <mergeCell ref="G25:J25"/>
    <mergeCell ref="C16:F16"/>
    <mergeCell ref="C17:F17"/>
    <mergeCell ref="C18:F18"/>
    <mergeCell ref="C19:F19"/>
    <mergeCell ref="C20:F20"/>
    <mergeCell ref="C21:F21"/>
    <mergeCell ref="B10:B21"/>
    <mergeCell ref="C10:F10"/>
    <mergeCell ref="G10:J10"/>
    <mergeCell ref="C11:F11"/>
    <mergeCell ref="G11:H21"/>
    <mergeCell ref="I11:J21"/>
    <mergeCell ref="C12:F12"/>
    <mergeCell ref="C13:F13"/>
    <mergeCell ref="C14:F14"/>
    <mergeCell ref="C15:F15"/>
    <mergeCell ref="E8:F8"/>
    <mergeCell ref="G8:H8"/>
    <mergeCell ref="I8:J8"/>
    <mergeCell ref="C9:D9"/>
    <mergeCell ref="E9:F9"/>
    <mergeCell ref="G9:H9"/>
    <mergeCell ref="I9:J9"/>
    <mergeCell ref="B6:B9"/>
    <mergeCell ref="C6:D6"/>
    <mergeCell ref="E6:F6"/>
    <mergeCell ref="G6:H6"/>
    <mergeCell ref="I6:J6"/>
    <mergeCell ref="C7:D7"/>
    <mergeCell ref="E7:F7"/>
    <mergeCell ref="G7:H7"/>
    <mergeCell ref="I7:J7"/>
    <mergeCell ref="C8:D8"/>
    <mergeCell ref="B1:J2"/>
    <mergeCell ref="G3:G5"/>
    <mergeCell ref="C4:E4"/>
    <mergeCell ref="H4:H5"/>
    <mergeCell ref="I4:I5"/>
    <mergeCell ref="J4:J5"/>
    <mergeCell ref="C5:E5"/>
  </mergeCells>
  <phoneticPr fontId="2" type="noConversion"/>
  <pageMargins left="0.7" right="0.7" top="0.75" bottom="0.75" header="0.3" footer="0.3"/>
  <pageSetup paperSize="9" scale="90" fitToWidth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cp:lastPrinted>2026-03-26T01:30:07Z</cp:lastPrinted>
  <dcterms:created xsi:type="dcterms:W3CDTF">2026-03-26T01:28:32Z</dcterms:created>
  <dcterms:modified xsi:type="dcterms:W3CDTF">2026-03-26T01:31:46Z</dcterms:modified>
</cp:coreProperties>
</file>