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. 안전보건관리실\012 표준 양식 (넘버링 전)\"/>
    </mc:Choice>
  </mc:AlternateContent>
  <xr:revisionPtr revIDLastSave="0" documentId="13_ncr:1_{D8BA9CEA-2969-4F6F-9982-95DC1E9BA73A}" xr6:coauthVersionLast="47" xr6:coauthVersionMax="47" xr10:uidLastSave="{00000000-0000-0000-0000-000000000000}"/>
  <bookViews>
    <workbookView xWindow="28680" yWindow="-6225" windowWidth="16440" windowHeight="28440" xr2:uid="{B3FF8404-7BE9-481B-B2A5-583842973942}"/>
  </bookViews>
  <sheets>
    <sheet name="부현전기 위험성평가표" sheetId="1" r:id="rId1"/>
    <sheet name="월일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B23" i="1" l="1"/>
  <c r="C23" i="1"/>
  <c r="D23" i="1"/>
  <c r="E4" i="1"/>
  <c r="P1" i="1"/>
  <c r="J32" i="1"/>
  <c r="J33" i="1"/>
  <c r="J34" i="1"/>
  <c r="J35" i="1"/>
  <c r="J36" i="1"/>
  <c r="J37" i="1"/>
  <c r="J38" i="1"/>
  <c r="J39" i="1"/>
  <c r="J40" i="1"/>
  <c r="J29" i="1"/>
  <c r="J31" i="1"/>
  <c r="J30" i="1"/>
  <c r="J12" i="1"/>
  <c r="J13" i="1"/>
  <c r="J14" i="1"/>
  <c r="J15" i="1"/>
  <c r="J16" i="1"/>
  <c r="J11" i="1"/>
  <c r="J10" i="1"/>
  <c r="P19" i="1" l="1"/>
  <c r="A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정상익</author>
  </authors>
  <commentList>
    <comment ref="F2" authorId="0" shapeId="0" xr:uid="{D3C9CEFB-A258-4E7F-95D8-F8B7336F320F}">
      <text>
        <r>
          <rPr>
            <b/>
            <sz val="22"/>
            <color indexed="81"/>
            <rFont val="HY울릉도M"/>
            <family val="1"/>
            <charset val="129"/>
          </rPr>
          <t>해당 월 
숫자만 기입</t>
        </r>
      </text>
    </comment>
    <comment ref="B20" authorId="0" shapeId="0" xr:uid="{B5B5540C-C44F-40A2-B17F-E7A314DECE04}">
      <text>
        <r>
          <rPr>
            <b/>
            <sz val="12"/>
            <color indexed="81"/>
            <rFont val="돋움"/>
            <family val="3"/>
            <charset val="129"/>
          </rPr>
          <t>정상익</t>
        </r>
        <r>
          <rPr>
            <b/>
            <sz val="12"/>
            <color indexed="81"/>
            <rFont val="Tahoma"/>
            <family val="2"/>
          </rPr>
          <t xml:space="preserve">:
</t>
        </r>
        <r>
          <rPr>
            <b/>
            <sz val="12"/>
            <color indexed="81"/>
            <rFont val="돋움"/>
            <family val="3"/>
            <charset val="129"/>
          </rPr>
          <t>출력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돋움"/>
            <family val="3"/>
            <charset val="129"/>
          </rPr>
          <t>해당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날짜의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출역인원을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기입하면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됩니다</t>
        </r>
        <r>
          <rPr>
            <b/>
            <sz val="12"/>
            <color indexed="81"/>
            <rFont val="Tahoma"/>
            <family val="2"/>
          </rPr>
          <t>.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26" authorId="0" shapeId="0" xr:uid="{D4B8B95E-2223-4E51-9986-FBB3CF93F015}">
      <text>
        <r>
          <rPr>
            <b/>
            <sz val="24"/>
            <color indexed="81"/>
            <rFont val="돋움"/>
            <family val="3"/>
            <charset val="129"/>
          </rPr>
          <t>별지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<sst xmlns="http://schemas.openxmlformats.org/spreadsheetml/2006/main" count="190" uniqueCount="109">
  <si>
    <t>작성일자</t>
  </si>
  <si>
    <t>관리기간</t>
  </si>
  <si>
    <t>위험성 결정, 감소대책 수립 및 실행계획 확인</t>
  </si>
  <si>
    <t>현장명</t>
  </si>
  <si>
    <t>자필 서명</t>
  </si>
  <si>
    <t>단위작업</t>
  </si>
  <si>
    <t>위험성 결정</t>
  </si>
  <si>
    <t>위험 방지 대책</t>
  </si>
  <si>
    <t>자재를 지게차로 운반하던 중 시야 미확보로 신호수와 충돌</t>
  </si>
  <si>
    <t>일일TBM 활동과 연계 : 참여인원 (투입/참여)</t>
  </si>
  <si>
    <r>
      <t>2</t>
    </r>
    <r>
      <rPr>
        <b/>
        <sz val="11"/>
        <color rgb="FF000000"/>
        <rFont val="KoPub돋움체 Medium"/>
        <family val="3"/>
        <charset val="129"/>
      </rPr>
      <t>일</t>
    </r>
  </si>
  <si>
    <r>
      <t>3</t>
    </r>
    <r>
      <rPr>
        <b/>
        <sz val="11"/>
        <color rgb="FF000000"/>
        <rFont val="KoPub돋움체 Medium"/>
        <family val="3"/>
        <charset val="129"/>
      </rPr>
      <t>일</t>
    </r>
  </si>
  <si>
    <r>
      <t>4</t>
    </r>
    <r>
      <rPr>
        <b/>
        <sz val="11"/>
        <color rgb="FF000000"/>
        <rFont val="KoPub돋움체 Medium"/>
        <family val="3"/>
        <charset val="129"/>
      </rPr>
      <t>일</t>
    </r>
  </si>
  <si>
    <r>
      <t>7</t>
    </r>
    <r>
      <rPr>
        <b/>
        <sz val="11"/>
        <color rgb="FFC00000"/>
        <rFont val="KoPub돋움체 Medium"/>
        <family val="3"/>
        <charset val="129"/>
      </rPr>
      <t>일</t>
    </r>
  </si>
  <si>
    <r>
      <t>8</t>
    </r>
    <r>
      <rPr>
        <b/>
        <sz val="11"/>
        <color rgb="FF000000"/>
        <rFont val="KoPub돋움체 Medium"/>
        <family val="3"/>
        <charset val="129"/>
      </rPr>
      <t>일</t>
    </r>
  </si>
  <si>
    <r>
      <t>9</t>
    </r>
    <r>
      <rPr>
        <b/>
        <sz val="11"/>
        <color rgb="FF000000"/>
        <rFont val="KoPub돋움체 Medium"/>
        <family val="3"/>
        <charset val="129"/>
      </rPr>
      <t>일</t>
    </r>
  </si>
  <si>
    <r>
      <t>10</t>
    </r>
    <r>
      <rPr>
        <b/>
        <sz val="11"/>
        <color rgb="FF000000"/>
        <rFont val="KoPub돋움체 Medium"/>
        <family val="3"/>
        <charset val="129"/>
      </rPr>
      <t>일</t>
    </r>
  </si>
  <si>
    <r>
      <t>11</t>
    </r>
    <r>
      <rPr>
        <b/>
        <sz val="11"/>
        <color rgb="FF000000"/>
        <rFont val="KoPub돋움체 Medium"/>
        <family val="3"/>
        <charset val="129"/>
      </rPr>
      <t>일</t>
    </r>
  </si>
  <si>
    <r>
      <t>12</t>
    </r>
    <r>
      <rPr>
        <b/>
        <sz val="11"/>
        <color rgb="FF000000"/>
        <rFont val="KoPub돋움체 Medium"/>
        <family val="3"/>
        <charset val="129"/>
      </rPr>
      <t>일</t>
    </r>
  </si>
  <si>
    <r>
      <t>14</t>
    </r>
    <r>
      <rPr>
        <b/>
        <sz val="11"/>
        <color rgb="FFC00000"/>
        <rFont val="KoPub돋움체 Medium"/>
        <family val="3"/>
        <charset val="129"/>
      </rPr>
      <t>일</t>
    </r>
  </si>
  <si>
    <r>
      <t>15</t>
    </r>
    <r>
      <rPr>
        <b/>
        <sz val="11"/>
        <color rgb="FF000000"/>
        <rFont val="KoPub돋움체 Medium"/>
        <family val="3"/>
        <charset val="129"/>
      </rPr>
      <t>일</t>
    </r>
  </si>
  <si>
    <r>
      <t>16</t>
    </r>
    <r>
      <rPr>
        <b/>
        <sz val="11"/>
        <color rgb="FF000000"/>
        <rFont val="KoPub돋움체 Medium"/>
        <family val="3"/>
        <charset val="129"/>
      </rPr>
      <t>일</t>
    </r>
  </si>
  <si>
    <r>
      <t>17</t>
    </r>
    <r>
      <rPr>
        <b/>
        <sz val="11"/>
        <color rgb="FF000000"/>
        <rFont val="KoPub돋움체 Medium"/>
        <family val="3"/>
        <charset val="129"/>
      </rPr>
      <t>일</t>
    </r>
  </si>
  <si>
    <r>
      <t>18</t>
    </r>
    <r>
      <rPr>
        <b/>
        <sz val="11"/>
        <color rgb="FF000000"/>
        <rFont val="KoPub돋움체 Medium"/>
        <family val="3"/>
        <charset val="129"/>
      </rPr>
      <t>일</t>
    </r>
  </si>
  <si>
    <r>
      <t>19</t>
    </r>
    <r>
      <rPr>
        <b/>
        <sz val="11"/>
        <color rgb="FF000000"/>
        <rFont val="KoPub돋움체 Medium"/>
        <family val="3"/>
        <charset val="129"/>
      </rPr>
      <t>일</t>
    </r>
  </si>
  <si>
    <r>
      <t>21</t>
    </r>
    <r>
      <rPr>
        <b/>
        <sz val="11"/>
        <color rgb="FFC00000"/>
        <rFont val="KoPub돋움체 Medium"/>
        <family val="3"/>
        <charset val="129"/>
      </rPr>
      <t>일</t>
    </r>
  </si>
  <si>
    <r>
      <t>22</t>
    </r>
    <r>
      <rPr>
        <b/>
        <sz val="11"/>
        <color rgb="FF000000"/>
        <rFont val="KoPub돋움체 Medium"/>
        <family val="3"/>
        <charset val="129"/>
      </rPr>
      <t>일</t>
    </r>
  </si>
  <si>
    <r>
      <t>23</t>
    </r>
    <r>
      <rPr>
        <b/>
        <sz val="11"/>
        <color rgb="FF000000"/>
        <rFont val="KoPub돋움체 Medium"/>
        <family val="3"/>
        <charset val="129"/>
      </rPr>
      <t>일</t>
    </r>
  </si>
  <si>
    <r>
      <t>24</t>
    </r>
    <r>
      <rPr>
        <b/>
        <sz val="11"/>
        <color rgb="FF000000"/>
        <rFont val="KoPub돋움체 Medium"/>
        <family val="3"/>
        <charset val="129"/>
      </rPr>
      <t>일</t>
    </r>
  </si>
  <si>
    <r>
      <t>25</t>
    </r>
    <r>
      <rPr>
        <b/>
        <sz val="11"/>
        <color rgb="FF000000"/>
        <rFont val="KoPub돋움체 Medium"/>
        <family val="3"/>
        <charset val="129"/>
      </rPr>
      <t>일</t>
    </r>
  </si>
  <si>
    <r>
      <t>26</t>
    </r>
    <r>
      <rPr>
        <b/>
        <sz val="11"/>
        <color rgb="FF000000"/>
        <rFont val="KoPub돋움체 Medium"/>
        <family val="3"/>
        <charset val="129"/>
      </rPr>
      <t>일</t>
    </r>
  </si>
  <si>
    <r>
      <t>28</t>
    </r>
    <r>
      <rPr>
        <b/>
        <sz val="11"/>
        <color rgb="FFC00000"/>
        <rFont val="KoPub돋움체 Medium"/>
        <family val="3"/>
        <charset val="129"/>
      </rPr>
      <t>일</t>
    </r>
  </si>
  <si>
    <t>㈜부현전기</t>
    <phoneticPr fontId="1" type="noConversion"/>
  </si>
  <si>
    <r>
      <t xml:space="preserve">담당자
</t>
    </r>
    <r>
      <rPr>
        <sz val="10"/>
        <color rgb="FF000000"/>
        <rFont val="맑은 고딕"/>
        <family val="3"/>
        <charset val="129"/>
        <scheme val="minor"/>
      </rPr>
      <t>(공사담당자)</t>
    </r>
    <phoneticPr fontId="1" type="noConversion"/>
  </si>
  <si>
    <r>
      <t xml:space="preserve">검토자
</t>
    </r>
    <r>
      <rPr>
        <sz val="10"/>
        <color rgb="FF000000"/>
        <rFont val="맑은 고딕"/>
        <family val="3"/>
        <charset val="129"/>
        <scheme val="minor"/>
      </rPr>
      <t>(위험성평가담당자)</t>
    </r>
    <phoneticPr fontId="1" type="noConversion"/>
  </si>
  <si>
    <r>
      <t xml:space="preserve">근로자 대표
</t>
    </r>
    <r>
      <rPr>
        <sz val="10"/>
        <color rgb="FF000000"/>
        <rFont val="맑은 고딕"/>
        <family val="3"/>
        <charset val="129"/>
        <scheme val="minor"/>
      </rPr>
      <t>(작업반장 등)</t>
    </r>
    <phoneticPr fontId="1" type="noConversion"/>
  </si>
  <si>
    <r>
      <t xml:space="preserve">승인자
</t>
    </r>
    <r>
      <rPr>
        <sz val="10"/>
        <color rgb="FF000000"/>
        <rFont val="맑은 고딕"/>
        <family val="3"/>
        <charset val="129"/>
        <scheme val="minor"/>
      </rPr>
      <t>(현장소장)</t>
    </r>
    <phoneticPr fontId="1" type="noConversion"/>
  </si>
  <si>
    <t>자필 서명</t>
    <phoneticPr fontId="1" type="noConversion"/>
  </si>
  <si>
    <t>김안전 반장(05.03)</t>
    <phoneticPr fontId="1" type="noConversion"/>
  </si>
  <si>
    <t>윤문화 반장(05.16)</t>
    <phoneticPr fontId="1" type="noConversion"/>
  </si>
  <si>
    <t>빈도</t>
    <phoneticPr fontId="1" type="noConversion"/>
  </si>
  <si>
    <t>경도</t>
    <phoneticPr fontId="1" type="noConversion"/>
  </si>
  <si>
    <t>위험도</t>
    <phoneticPr fontId="1" type="noConversion"/>
  </si>
  <si>
    <t>지하2층, 지상 15층 주상복합 신축현장, 작성일 현재 공정률 약 40%이며, 5월 한 달간 지상 8층~10층 구조물 공사, 지하1층 ∼ 지상 3층 내외부 마감공사가 진행 예정임</t>
    <phoneticPr fontId="1" type="noConversion"/>
  </si>
  <si>
    <t>개선조치 담당자
(조치예정일)</t>
    <phoneticPr fontId="1" type="noConversion"/>
  </si>
  <si>
    <t>위험요인</t>
    <phoneticPr fontId="1" type="noConversion"/>
  </si>
  <si>
    <t>월 예정공정 현황</t>
    <phoneticPr fontId="1" type="noConversion"/>
  </si>
  <si>
    <t>전기</t>
    <phoneticPr fontId="1" type="noConversion"/>
  </si>
  <si>
    <t>- 차량계 하역운반기계 작업 또는 이동 시 작업반경 내 유도자 및 근로자 접근 금지
- 작업을 시작하는 경우 운전원은 유도자의 신호에 따라 신호를 인지 후 장비 조작</t>
    <phoneticPr fontId="1" type="noConversion"/>
  </si>
  <si>
    <t xml:space="preserve"> 4층 B동 22번 도크쪽 입선 중 말비계 전도 위험</t>
    <phoneticPr fontId="1" type="noConversion"/>
  </si>
  <si>
    <t>말비계 안전한 구조의 말비계를 사용
 - 발판의 폭이 40cm이상의 비계를 사용
 - 말비계의 4지점이 견고한 구조의 바닥에 지지
 - 발판의 양 끝지점은 단부의 위치를 알수있도록 표시</t>
    <phoneticPr fontId="1" type="noConversion"/>
  </si>
  <si>
    <t xml:space="preserve"> 바닥이 참하되어 고소작업대가 전도되면서 추락 위험</t>
    <phoneticPr fontId="1" type="noConversion"/>
  </si>
  <si>
    <t>- 사전 지반조사를 통해 지반 지내력 확인 후 철판 또는 콘크리트 타설 등의 보강 조치
- 추락 방지를 위해 안전대 부착설비 설치 후 안전대 착용 후 작업</t>
    <phoneticPr fontId="1" type="noConversion"/>
  </si>
  <si>
    <t xml:space="preserve"> 앙카볼트 고정 상태 불량으로 인한 트레이 탈락에 의한 낙하로 재해발생</t>
    <phoneticPr fontId="1" type="noConversion"/>
  </si>
  <si>
    <t>- 드릴작업시 규격에 맞는 드릴을 사용하며 작업 전 고정여부 확인</t>
    <phoneticPr fontId="1" type="noConversion"/>
  </si>
  <si>
    <t>자재운반</t>
    <phoneticPr fontId="1" type="noConversion"/>
  </si>
  <si>
    <t>입선작업</t>
    <phoneticPr fontId="1" type="noConversion"/>
  </si>
  <si>
    <t>배관작업</t>
    <phoneticPr fontId="1" type="noConversion"/>
  </si>
  <si>
    <t>트레이설치</t>
    <phoneticPr fontId="1" type="noConversion"/>
  </si>
  <si>
    <t>김안전 반장(즉시)</t>
    <phoneticPr fontId="1" type="noConversion"/>
  </si>
  <si>
    <t>김부현 소장(즉시)</t>
    <phoneticPr fontId="1" type="noConversion"/>
  </si>
  <si>
    <t>이행확인
(조치한 경우 서명)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</si>
  <si>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[위험성평가 → 위험성평가회의 → 이행확인 → 교육·TBM 전파]</t>
    </r>
    <r>
      <rPr>
        <sz val="12"/>
        <color rgb="FF666666"/>
        <rFont val="맑은 고딕"/>
        <family val="3"/>
        <charset val="129"/>
        <scheme val="minor"/>
      </rPr>
      <t xml:space="preserve">
</t>
    </r>
    <r>
      <rPr>
        <sz val="11"/>
        <color rgb="FF666666"/>
        <rFont val="맑은 고딕"/>
        <family val="3"/>
        <charset val="129"/>
        <scheme val="minor"/>
      </rPr>
      <t>(유해·위험요인 파악) (위험성 결정, 감소대책 수립) (감소대책 실행) (위험성평가의 공유)</t>
    </r>
    <phoneticPr fontId="1" type="noConversion"/>
  </si>
  <si>
    <t>1일</t>
    <phoneticPr fontId="1" type="noConversion"/>
  </si>
  <si>
    <t>/</t>
    <phoneticPr fontId="1" type="noConversion"/>
  </si>
  <si>
    <r>
      <t>5</t>
    </r>
    <r>
      <rPr>
        <b/>
        <sz val="11"/>
        <color theme="1"/>
        <rFont val="KoPub돋움체 Medium"/>
        <family val="3"/>
        <charset val="129"/>
      </rPr>
      <t>일</t>
    </r>
  </si>
  <si>
    <r>
      <t>13</t>
    </r>
    <r>
      <rPr>
        <b/>
        <sz val="11"/>
        <color rgb="FF0070C0"/>
        <rFont val="KoPub돋움체 Medium"/>
        <family val="3"/>
        <charset val="129"/>
      </rPr>
      <t>일</t>
    </r>
  </si>
  <si>
    <r>
      <t>27</t>
    </r>
    <r>
      <rPr>
        <b/>
        <sz val="11"/>
        <color rgb="FF0070C0"/>
        <rFont val="KoPub돋움체 Medium"/>
        <family val="3"/>
        <charset val="129"/>
      </rPr>
      <t>일</t>
    </r>
  </si>
  <si>
    <r>
      <t>6</t>
    </r>
    <r>
      <rPr>
        <b/>
        <sz val="11"/>
        <color rgb="FF0070C0"/>
        <rFont val="KoPub돋움체 Medium"/>
        <family val="3"/>
        <charset val="129"/>
      </rPr>
      <t>일</t>
    </r>
  </si>
  <si>
    <r>
      <t>20</t>
    </r>
    <r>
      <rPr>
        <b/>
        <sz val="11"/>
        <color rgb="FF0070C0"/>
        <rFont val="KoPub돋움체 Medium"/>
        <family val="3"/>
        <charset val="129"/>
      </rPr>
      <t>일</t>
    </r>
  </si>
  <si>
    <t>≪ TBM순서 ≫</t>
    <phoneticPr fontId="1" type="noConversion"/>
  </si>
  <si>
    <t>보호구확인</t>
    <phoneticPr fontId="1" type="noConversion"/>
  </si>
  <si>
    <t>기타사항 전파</t>
    <phoneticPr fontId="1" type="noConversion"/>
  </si>
  <si>
    <t>당일작업 및 위험사항 전달</t>
  </si>
  <si>
    <t>지적확인</t>
    <phoneticPr fontId="1" type="noConversion"/>
  </si>
  <si>
    <t>모든팀원 3회 복창</t>
    <phoneticPr fontId="1" type="noConversion"/>
  </si>
  <si>
    <t>9이상 대책 우선 순위 : 공법변경→작업변경→안전시설물→개인보호구 순
7이상 대책 우선 순위 : 관리자 배치(신호수 등) → 위험저감 교육 등</t>
    <phoneticPr fontId="1" type="noConversion"/>
  </si>
  <si>
    <r>
      <t>전원참여</t>
    </r>
    <r>
      <rPr>
        <sz val="11"/>
        <color theme="1"/>
        <rFont val="Tahoma"/>
        <family val="2"/>
        <charset val="1"/>
      </rPr>
      <t xml:space="preserve">․
</t>
    </r>
    <r>
      <rPr>
        <sz val="11"/>
        <color theme="1"/>
        <rFont val="맑은 고딕"/>
        <family val="2"/>
        <charset val="129"/>
        <scheme val="minor"/>
      </rPr>
      <t>위험예지</t>
    </r>
    <phoneticPr fontId="1" type="noConversion"/>
  </si>
  <si>
    <t>리더
→팀원,팀원간</t>
    <phoneticPr fontId="1" type="noConversion"/>
  </si>
  <si>
    <t>별지</t>
    <phoneticPr fontId="1" type="noConversion"/>
  </si>
  <si>
    <t>공종분류</t>
    <phoneticPr fontId="1" type="noConversion"/>
  </si>
  <si>
    <t>순 번</t>
    <phoneticPr fontId="1" type="noConversion"/>
  </si>
  <si>
    <t>TBM 교육</t>
    <phoneticPr fontId="1" type="noConversion"/>
  </si>
  <si>
    <t>TBM리더,
팀원</t>
    <phoneticPr fontId="1" type="noConversion"/>
  </si>
  <si>
    <r>
      <t>집합</t>
    </r>
    <r>
      <rPr>
        <sz val="11"/>
        <color rgb="FF353535"/>
        <rFont val="맑은 고딕"/>
        <family val="1"/>
        <charset val="129"/>
        <scheme val="minor"/>
      </rPr>
      <t>‧</t>
    </r>
    <r>
      <rPr>
        <sz val="11"/>
        <color rgb="FF353535"/>
        <rFont val="맑은 고딕"/>
        <family val="3"/>
        <charset val="129"/>
        <scheme val="minor"/>
      </rPr>
      <t>인사</t>
    </r>
  </si>
  <si>
    <t>리더, 팀원
상호 소통</t>
    <phoneticPr fontId="1" type="noConversion"/>
  </si>
  <si>
    <t>( 5월 1일 ~ 5월 31일 )</t>
    <phoneticPr fontId="1" type="noConversion"/>
  </si>
  <si>
    <t>( 1월 1일 ~ 1월 31일 )</t>
    <phoneticPr fontId="1" type="noConversion"/>
  </si>
  <si>
    <t>( 2월 1일 ~ 2월 28일 )</t>
    <phoneticPr fontId="1" type="noConversion"/>
  </si>
  <si>
    <t>( 4월 1일 ~ 4월 30일 )</t>
    <phoneticPr fontId="1" type="noConversion"/>
  </si>
  <si>
    <t>( 3월 1일 ~ 3월 31일 )</t>
    <phoneticPr fontId="1" type="noConversion"/>
  </si>
  <si>
    <t>( 6월 1일 ~ 6월 30일 )</t>
    <phoneticPr fontId="1" type="noConversion"/>
  </si>
  <si>
    <t>( 7월 1일 ~ 7월 31일 )</t>
    <phoneticPr fontId="1" type="noConversion"/>
  </si>
  <si>
    <t>( 8월 1일 ~ 8월 31일 )</t>
    <phoneticPr fontId="1" type="noConversion"/>
  </si>
  <si>
    <t>( 9월 1일 ~ 9월 30일 )</t>
    <phoneticPr fontId="1" type="noConversion"/>
  </si>
  <si>
    <t>(10월1일 ~10월31일)</t>
    <phoneticPr fontId="1" type="noConversion"/>
  </si>
  <si>
    <t>(11월1일 ~11월30일)</t>
    <phoneticPr fontId="1" type="noConversion"/>
  </si>
  <si>
    <t>(12월1일 ~12월31일)</t>
    <phoneticPr fontId="1" type="noConversion"/>
  </si>
  <si>
    <t>31일</t>
    <phoneticPr fontId="1" type="noConversion"/>
  </si>
  <si>
    <t>30일</t>
    <phoneticPr fontId="1" type="noConversion"/>
  </si>
  <si>
    <t>28일</t>
    <phoneticPr fontId="1" type="noConversion"/>
  </si>
  <si>
    <t>29일</t>
    <phoneticPr fontId="1" type="noConversion"/>
  </si>
  <si>
    <t>TBM
교육
참여
현황</t>
    <phoneticPr fontId="1" type="noConversion"/>
  </si>
  <si>
    <t>6명/6명</t>
    <phoneticPr fontId="1" type="noConversion"/>
  </si>
  <si>
    <t>6/6</t>
    <phoneticPr fontId="1" type="noConversion"/>
  </si>
  <si>
    <t>7/7</t>
    <phoneticPr fontId="1" type="noConversion"/>
  </si>
  <si>
    <t>The-K 제주호텔 리모델링 공사</t>
    <phoneticPr fontId="1" type="noConversion"/>
  </si>
  <si>
    <t>2025년</t>
    <phoneticPr fontId="1" type="noConversion"/>
  </si>
  <si>
    <r>
      <rPr>
        <b/>
        <u/>
        <sz val="20"/>
        <color rgb="FF0000FF"/>
        <rFont val="맑은 고딕"/>
        <family val="3"/>
        <charset val="129"/>
        <scheme val="minor"/>
      </rPr>
      <t>위험성평가</t>
    </r>
    <r>
      <rPr>
        <b/>
        <u/>
        <sz val="20"/>
        <color rgb="FF000000"/>
        <rFont val="맑은 고딕"/>
        <family val="3"/>
        <charset val="129"/>
        <scheme val="minor"/>
      </rPr>
      <t xml:space="preserve"> 및 </t>
    </r>
    <r>
      <rPr>
        <b/>
        <u/>
        <sz val="20"/>
        <color rgb="FF0000FF"/>
        <rFont val="맑은 고딕"/>
        <family val="3"/>
        <charset val="129"/>
        <scheme val="minor"/>
      </rPr>
      <t>점검 회의록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</si>
</sst>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&quot;월&quot;\ dd&quot;일&quot;"/>
    <numFmt numFmtId="177" formatCode="&quot;(&quot;##&quot;)&quot;"/>
    <numFmt numFmtId="178" formatCode="&quot;(&quot;\ ##\ &quot;월)&quot;"/>
    <numFmt numFmtId="179" formatCode="&quot;별지 (&quot;\ ##\ &quot;) 매 첨부&quot;"/>
  </numFmts>
  <fonts count="5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i/>
      <sz val="12"/>
      <color rgb="FF666666"/>
      <name val="맑은 고딕"/>
      <family val="3"/>
      <charset val="129"/>
      <scheme val="minor"/>
    </font>
    <font>
      <b/>
      <i/>
      <sz val="11"/>
      <color rgb="FF999999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i/>
      <sz val="11"/>
      <color rgb="FF666666"/>
      <name val="맑은 고딕"/>
      <family val="3"/>
      <charset val="129"/>
      <scheme val="minor"/>
    </font>
    <font>
      <sz val="11"/>
      <color rgb="FF666666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sz val="11"/>
      <color rgb="FFFFFFFF"/>
      <name val="HY헤드라인M"/>
      <family val="1"/>
      <charset val="129"/>
    </font>
    <font>
      <sz val="9"/>
      <color rgb="FF353535"/>
      <name val="HY헤드라인M"/>
      <family val="1"/>
      <charset val="129"/>
    </font>
    <font>
      <sz val="8"/>
      <color rgb="FF00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C00000"/>
      <name val="KoPub돋움체 Medium"/>
      <family val="3"/>
      <charset val="129"/>
    </font>
    <font>
      <b/>
      <sz val="11"/>
      <color rgb="FF000000"/>
      <name val="KoPub돋움체 Medium"/>
      <family val="3"/>
      <charset val="129"/>
    </font>
    <font>
      <b/>
      <sz val="11"/>
      <color rgb="FFD53A00"/>
      <name val="맑은 고딕"/>
      <family val="3"/>
      <charset val="129"/>
      <scheme val="minor"/>
    </font>
    <font>
      <b/>
      <u/>
      <sz val="20"/>
      <color rgb="FF99999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rgb="FF666666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20"/>
      <color rgb="FF0000FF"/>
      <name val="맑은 고딕"/>
      <family val="3"/>
      <charset val="129"/>
      <scheme val="minor"/>
    </font>
    <font>
      <b/>
      <u/>
      <sz val="20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KoPub돋움체 Medium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rgb="FF0070C0"/>
      <name val="KoPub돋움체 Medium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Tahoma"/>
      <family val="2"/>
      <charset val="1"/>
    </font>
    <font>
      <b/>
      <sz val="28"/>
      <color rgb="FF00000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ajor"/>
    </font>
    <font>
      <sz val="24"/>
      <color rgb="FF000000"/>
      <name val="맑은 고딕"/>
      <family val="3"/>
      <charset val="129"/>
      <scheme val="minor"/>
    </font>
    <font>
      <sz val="11"/>
      <color rgb="FF353535"/>
      <name val="맑은 고딕"/>
      <family val="3"/>
      <charset val="129"/>
      <scheme val="minor"/>
    </font>
    <font>
      <sz val="11"/>
      <color rgb="FF353535"/>
      <name val="맑은 고딕"/>
      <family val="1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666666"/>
      <name val="맑은 고딕"/>
      <family val="3"/>
      <charset val="129"/>
      <scheme val="minor"/>
    </font>
    <font>
      <sz val="11"/>
      <color theme="1"/>
      <name val="HY견고딕"/>
      <family val="1"/>
      <charset val="129"/>
    </font>
    <font>
      <b/>
      <sz val="22"/>
      <color indexed="81"/>
      <name val="HY울릉도M"/>
      <family val="1"/>
      <charset val="129"/>
    </font>
    <font>
      <sz val="9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24"/>
      <color indexed="81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D8FF"/>
        <bgColor indexed="64"/>
      </patternFill>
    </fill>
    <fill>
      <patternFill patternType="solid">
        <fgColor rgb="FFDFDEF7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AEDE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A0000"/>
      </left>
      <right/>
      <top/>
      <bottom/>
      <diagonal/>
    </border>
    <border>
      <left style="thin">
        <color rgb="FF0A0000"/>
      </left>
      <right style="thin">
        <color rgb="FF0A0000"/>
      </right>
      <top style="thin">
        <color rgb="FF0A0000"/>
      </top>
      <bottom style="thin">
        <color rgb="FF0A0000"/>
      </bottom>
      <diagonal/>
    </border>
    <border>
      <left style="thin">
        <color rgb="FF0A0000"/>
      </left>
      <right style="thin">
        <color rgb="FF0A0000"/>
      </right>
      <top style="thin">
        <color rgb="FF0A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A0000"/>
      </left>
      <right/>
      <top style="thin">
        <color rgb="FF0A0000"/>
      </top>
      <bottom/>
      <diagonal/>
    </border>
    <border>
      <left/>
      <right/>
      <top style="thin">
        <color rgb="FF0A0000"/>
      </top>
      <bottom/>
      <diagonal/>
    </border>
    <border>
      <left style="medium">
        <color rgb="FF0A0000"/>
      </left>
      <right style="thin">
        <color rgb="FF0A0000"/>
      </right>
      <top style="medium">
        <color rgb="FF0A0000"/>
      </top>
      <bottom style="thin">
        <color rgb="FF0A0000"/>
      </bottom>
      <diagonal/>
    </border>
    <border>
      <left style="thin">
        <color rgb="FF0A0000"/>
      </left>
      <right style="thin">
        <color rgb="FF0A0000"/>
      </right>
      <top style="medium">
        <color rgb="FF0A0000"/>
      </top>
      <bottom style="thin">
        <color rgb="FF0A0000"/>
      </bottom>
      <diagonal/>
    </border>
    <border>
      <left style="medium">
        <color rgb="FF0A0000"/>
      </left>
      <right style="thin">
        <color rgb="FF0A0000"/>
      </right>
      <top style="thin">
        <color rgb="FF0A0000"/>
      </top>
      <bottom style="medium">
        <color rgb="FF0A0000"/>
      </bottom>
      <diagonal/>
    </border>
    <border>
      <left style="thin">
        <color rgb="FF0A0000"/>
      </left>
      <right style="thin">
        <color rgb="FF0A0000"/>
      </right>
      <top style="thin">
        <color rgb="FF0A0000"/>
      </top>
      <bottom style="medium">
        <color rgb="FF0A0000"/>
      </bottom>
      <diagonal/>
    </border>
    <border>
      <left/>
      <right/>
      <top/>
      <bottom style="medium">
        <color rgb="FF0A0000"/>
      </bottom>
      <diagonal/>
    </border>
    <border>
      <left style="thin">
        <color rgb="FF0A0000"/>
      </left>
      <right style="medium">
        <color rgb="FF0A0000"/>
      </right>
      <top style="medium">
        <color rgb="FF0A0000"/>
      </top>
      <bottom style="thin">
        <color rgb="FF0A0000"/>
      </bottom>
      <diagonal/>
    </border>
    <border>
      <left style="thin">
        <color rgb="FF0A0000"/>
      </left>
      <right style="medium">
        <color rgb="FF0A0000"/>
      </right>
      <top style="thin">
        <color rgb="FF0A0000"/>
      </top>
      <bottom style="medium">
        <color rgb="FF0A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rgb="FF0A0000"/>
      </right>
      <top style="thin">
        <color rgb="FF0A0000"/>
      </top>
      <bottom style="thin">
        <color rgb="FF0A0000"/>
      </bottom>
      <diagonal/>
    </border>
    <border>
      <left style="medium">
        <color auto="1"/>
      </left>
      <right style="thin">
        <color rgb="FF0A0000"/>
      </right>
      <top style="thin">
        <color rgb="FF0A0000"/>
      </top>
      <bottom style="medium">
        <color auto="1"/>
      </bottom>
      <diagonal/>
    </border>
    <border>
      <left style="thin">
        <color rgb="FF0A0000"/>
      </left>
      <right style="thin">
        <color rgb="FF0A0000"/>
      </right>
      <top style="thin">
        <color rgb="FF0A0000"/>
      </top>
      <bottom style="medium">
        <color auto="1"/>
      </bottom>
      <diagonal/>
    </border>
    <border>
      <left style="thin">
        <color rgb="FF0A0000"/>
      </left>
      <right/>
      <top/>
      <bottom style="medium">
        <color auto="1"/>
      </bottom>
      <diagonal/>
    </border>
    <border>
      <left style="medium">
        <color rgb="FF0A0000"/>
      </left>
      <right style="thin">
        <color rgb="FF0A0000"/>
      </right>
      <top style="thin">
        <color rgb="FF0A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A0000"/>
      </left>
      <right/>
      <top/>
      <bottom style="medium">
        <color rgb="FF0A0000"/>
      </bottom>
      <diagonal/>
    </border>
    <border>
      <left/>
      <right style="medium">
        <color auto="1"/>
      </right>
      <top/>
      <bottom style="medium">
        <color rgb="FF0A0000"/>
      </bottom>
      <diagonal/>
    </border>
    <border>
      <left style="thin">
        <color rgb="FF0A0000"/>
      </left>
      <right/>
      <top style="medium">
        <color rgb="FF0A0000"/>
      </top>
      <bottom style="thin">
        <color rgb="FF0A0000"/>
      </bottom>
      <diagonal/>
    </border>
    <border>
      <left style="thin">
        <color rgb="FF0A0000"/>
      </left>
      <right/>
      <top style="thin">
        <color rgb="FF0A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rgb="FF0A0000"/>
      </top>
      <bottom/>
      <diagonal/>
    </border>
    <border>
      <left style="medium">
        <color auto="1"/>
      </left>
      <right/>
      <top style="medium">
        <color auto="1"/>
      </top>
      <bottom style="thin">
        <color rgb="FF0A0000"/>
      </bottom>
      <diagonal/>
    </border>
    <border>
      <left/>
      <right/>
      <top style="medium">
        <color auto="1"/>
      </top>
      <bottom style="thin">
        <color rgb="FF0A0000"/>
      </bottom>
      <diagonal/>
    </border>
    <border>
      <left/>
      <right style="medium">
        <color auto="1"/>
      </right>
      <top style="medium">
        <color auto="1"/>
      </top>
      <bottom style="thin">
        <color rgb="FF0A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0">
    <xf numFmtId="0" fontId="0" fillId="0" borderId="0" xfId="0">
      <alignment vertical="center"/>
    </xf>
    <xf numFmtId="0" fontId="1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2" borderId="20" xfId="0" applyFont="1" applyFill="1" applyBorder="1" applyAlignment="1">
      <alignment horizontal="center" vertical="center" wrapText="1"/>
    </xf>
    <xf numFmtId="177" fontId="21" fillId="12" borderId="27" xfId="0" applyNumberFormat="1" applyFont="1" applyFill="1" applyBorder="1" applyAlignment="1">
      <alignment horizontal="right"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3" fillId="0" borderId="33" xfId="0" applyFont="1" applyBorder="1" applyAlignment="1">
      <alignment vertical="center" wrapText="1"/>
    </xf>
    <xf numFmtId="0" fontId="21" fillId="0" borderId="25" xfId="0" applyFont="1" applyBorder="1" applyAlignment="1">
      <alignment horizontal="center" vertical="center"/>
    </xf>
    <xf numFmtId="0" fontId="35" fillId="10" borderId="13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>
      <alignment vertical="center"/>
    </xf>
    <xf numFmtId="0" fontId="21" fillId="0" borderId="44" xfId="0" applyFont="1" applyBorder="1" applyAlignment="1">
      <alignment horizontal="center" vertical="center"/>
    </xf>
    <xf numFmtId="0" fontId="0" fillId="0" borderId="45" xfId="0" applyBorder="1">
      <alignment vertical="center"/>
    </xf>
    <xf numFmtId="0" fontId="21" fillId="0" borderId="47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21" fillId="0" borderId="55" xfId="0" applyFont="1" applyBorder="1" applyAlignment="1">
      <alignment horizontal="center" vertical="center"/>
    </xf>
    <xf numFmtId="0" fontId="0" fillId="0" borderId="42" xfId="0" applyBorder="1">
      <alignment vertical="center"/>
    </xf>
    <xf numFmtId="0" fontId="8" fillId="5" borderId="59" xfId="0" applyFont="1" applyFill="1" applyBorder="1" applyAlignment="1">
      <alignment horizontal="center" vertical="center" wrapText="1"/>
    </xf>
    <xf numFmtId="0" fontId="20" fillId="5" borderId="59" xfId="0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1" fillId="0" borderId="35" xfId="0" applyFont="1" applyBorder="1" applyAlignment="1">
      <alignment horizontal="center" wrapText="1"/>
    </xf>
    <xf numFmtId="49" fontId="9" fillId="11" borderId="6" xfId="0" applyNumberFormat="1" applyFont="1" applyFill="1" applyBorder="1" applyAlignment="1">
      <alignment horizontal="center" vertical="center" wrapText="1"/>
    </xf>
    <xf numFmtId="49" fontId="9" fillId="11" borderId="7" xfId="0" applyNumberFormat="1" applyFont="1" applyFill="1" applyBorder="1" applyAlignment="1">
      <alignment horizontal="center" vertical="center" wrapText="1"/>
    </xf>
    <xf numFmtId="49" fontId="9" fillId="11" borderId="32" xfId="0" applyNumberFormat="1" applyFont="1" applyFill="1" applyBorder="1" applyAlignment="1">
      <alignment horizontal="center" vertical="center" wrapText="1"/>
    </xf>
    <xf numFmtId="178" fontId="34" fillId="0" borderId="11" xfId="0" applyNumberFormat="1" applyFont="1" applyBorder="1" applyAlignment="1">
      <alignment horizontal="center" wrapText="1"/>
    </xf>
    <xf numFmtId="178" fontId="34" fillId="0" borderId="12" xfId="0" applyNumberFormat="1" applyFont="1" applyBorder="1" applyAlignment="1">
      <alignment horizontal="center" wrapText="1"/>
    </xf>
    <xf numFmtId="178" fontId="34" fillId="0" borderId="61" xfId="0" applyNumberFormat="1" applyFont="1" applyBorder="1" applyAlignment="1">
      <alignment horizontal="center" wrapText="1"/>
    </xf>
    <xf numFmtId="178" fontId="34" fillId="0" borderId="5" xfId="0" applyNumberFormat="1" applyFont="1" applyBorder="1" applyAlignment="1">
      <alignment horizontal="center" wrapText="1"/>
    </xf>
    <xf numFmtId="178" fontId="34" fillId="0" borderId="0" xfId="0" applyNumberFormat="1" applyFont="1" applyAlignment="1">
      <alignment horizontal="center" wrapText="1"/>
    </xf>
    <xf numFmtId="178" fontId="34" fillId="0" borderId="29" xfId="0" applyNumberFormat="1" applyFont="1" applyBorder="1" applyAlignment="1">
      <alignment horizontal="center" wrapText="1"/>
    </xf>
    <xf numFmtId="0" fontId="36" fillId="0" borderId="5" xfId="0" applyFont="1" applyBorder="1" applyAlignment="1">
      <alignment horizontal="center" vertical="top" wrapText="1"/>
    </xf>
    <xf numFmtId="0" fontId="36" fillId="0" borderId="0" xfId="0" applyFont="1" applyAlignment="1">
      <alignment horizontal="center" vertical="top" wrapText="1"/>
    </xf>
    <xf numFmtId="0" fontId="36" fillId="0" borderId="29" xfId="0" applyFont="1" applyBorder="1" applyAlignment="1">
      <alignment horizontal="center" vertical="top" wrapText="1"/>
    </xf>
    <xf numFmtId="0" fontId="36" fillId="0" borderId="38" xfId="0" applyFont="1" applyBorder="1" applyAlignment="1">
      <alignment horizontal="center" vertical="top" wrapText="1"/>
    </xf>
    <xf numFmtId="0" fontId="36" fillId="0" borderId="17" xfId="0" applyFont="1" applyBorder="1" applyAlignment="1">
      <alignment horizontal="center" vertical="top" wrapText="1"/>
    </xf>
    <xf numFmtId="0" fontId="36" fillId="0" borderId="39" xfId="0" applyFont="1" applyBorder="1" applyAlignment="1">
      <alignment horizontal="center" vertical="top" wrapText="1"/>
    </xf>
    <xf numFmtId="0" fontId="41" fillId="0" borderId="65" xfId="0" applyFont="1" applyBorder="1" applyAlignment="1">
      <alignment horizontal="center" vertical="top" wrapText="1"/>
    </xf>
    <xf numFmtId="0" fontId="41" fillId="0" borderId="36" xfId="0" applyFont="1" applyBorder="1" applyAlignment="1">
      <alignment horizontal="center" vertical="top" wrapText="1"/>
    </xf>
    <xf numFmtId="0" fontId="5" fillId="0" borderId="69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indent="1"/>
    </xf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0" xfId="0" applyBorder="1" applyAlignment="1">
      <alignment horizontal="left" vertical="center" indent="1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8" xfId="0" quotePrefix="1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wrapText="1" inden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3" fillId="8" borderId="59" xfId="0" applyFont="1" applyFill="1" applyBorder="1" applyAlignment="1">
      <alignment horizontal="center" vertical="center" wrapText="1"/>
    </xf>
    <xf numFmtId="0" fontId="3" fillId="8" borderId="60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left" vertical="center" indent="1"/>
    </xf>
    <xf numFmtId="0" fontId="24" fillId="0" borderId="8" xfId="0" quotePrefix="1" applyFont="1" applyBorder="1" applyAlignment="1">
      <alignment horizontal="left" vertical="center" wrapText="1" indent="1"/>
    </xf>
    <xf numFmtId="0" fontId="3" fillId="4" borderId="53" xfId="0" applyFont="1" applyFill="1" applyBorder="1" applyAlignment="1">
      <alignment horizontal="center" vertical="center" wrapText="1"/>
    </xf>
    <xf numFmtId="0" fontId="3" fillId="4" borderId="57" xfId="0" applyFont="1" applyFill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39" fillId="0" borderId="34" xfId="0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59" xfId="0" applyFont="1" applyFill="1" applyBorder="1" applyAlignment="1">
      <alignment horizontal="center" vertical="center" wrapText="1"/>
    </xf>
    <xf numFmtId="0" fontId="11" fillId="9" borderId="62" xfId="0" applyFont="1" applyFill="1" applyBorder="1" applyAlignment="1">
      <alignment horizontal="center" vertical="center" wrapText="1"/>
    </xf>
    <xf numFmtId="0" fontId="11" fillId="9" borderId="63" xfId="0" applyFont="1" applyFill="1" applyBorder="1" applyAlignment="1">
      <alignment horizontal="center" vertical="center" wrapText="1"/>
    </xf>
    <xf numFmtId="0" fontId="11" fillId="9" borderId="64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59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3" fillId="0" borderId="43" xfId="0" applyFont="1" applyBorder="1" applyAlignment="1">
      <alignment horizontal="left" vertical="center" wrapText="1" indent="1"/>
    </xf>
    <xf numFmtId="0" fontId="0" fillId="0" borderId="43" xfId="0" applyBorder="1" applyAlignment="1">
      <alignment horizontal="left" vertical="center" indent="1"/>
    </xf>
    <xf numFmtId="0" fontId="0" fillId="0" borderId="4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5" borderId="59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left" vertical="center" indent="1"/>
    </xf>
    <xf numFmtId="0" fontId="0" fillId="0" borderId="45" xfId="0" applyBorder="1" applyAlignment="1">
      <alignment horizontal="left" vertical="center" wrapText="1" indent="1"/>
    </xf>
    <xf numFmtId="0" fontId="0" fillId="0" borderId="45" xfId="0" quotePrefix="1" applyBorder="1" applyAlignment="1">
      <alignment horizontal="left" vertical="center" wrapText="1" inden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5" fillId="0" borderId="42" xfId="0" applyFont="1" applyBorder="1" applyAlignment="1">
      <alignment horizontal="left" vertical="center" indent="1"/>
    </xf>
    <xf numFmtId="0" fontId="24" fillId="0" borderId="42" xfId="0" quotePrefix="1" applyFont="1" applyBorder="1" applyAlignment="1">
      <alignment horizontal="left" vertical="center" wrapText="1" indent="1"/>
    </xf>
    <xf numFmtId="0" fontId="0" fillId="0" borderId="4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 wrapText="1"/>
    </xf>
    <xf numFmtId="0" fontId="3" fillId="4" borderId="5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176" fontId="42" fillId="0" borderId="8" xfId="0" applyNumberFormat="1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left" vertical="center" wrapText="1" inden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179" fontId="3" fillId="0" borderId="4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178" fontId="22" fillId="13" borderId="21" xfId="0" applyNumberFormat="1" applyFont="1" applyFill="1" applyBorder="1" applyAlignment="1">
      <alignment horizontal="right" vertical="center" wrapText="1"/>
    </xf>
    <xf numFmtId="178" fontId="22" fillId="13" borderId="66" xfId="0" applyNumberFormat="1" applyFont="1" applyFill="1" applyBorder="1" applyAlignment="1">
      <alignment horizontal="right" vertical="center" wrapText="1"/>
    </xf>
    <xf numFmtId="0" fontId="19" fillId="2" borderId="22" xfId="0" applyFont="1" applyFill="1" applyBorder="1" applyAlignment="1">
      <alignment horizontal="left" vertical="center" wrapText="1"/>
    </xf>
    <xf numFmtId="0" fontId="19" fillId="2" borderId="23" xfId="0" applyFont="1" applyFill="1" applyBorder="1" applyAlignment="1">
      <alignment horizontal="left" vertical="center" wrapText="1"/>
    </xf>
    <xf numFmtId="0" fontId="19" fillId="2" borderId="67" xfId="0" applyFont="1" applyFill="1" applyBorder="1" applyAlignment="1">
      <alignment horizontal="left" vertical="center" wrapText="1"/>
    </xf>
    <xf numFmtId="0" fontId="19" fillId="2" borderId="68" xfId="0" applyFont="1" applyFill="1" applyBorder="1" applyAlignment="1">
      <alignment horizontal="left" vertical="center" wrapText="1"/>
    </xf>
    <xf numFmtId="0" fontId="23" fillId="13" borderId="36" xfId="0" applyFont="1" applyFill="1" applyBorder="1" applyAlignment="1">
      <alignment horizontal="center" vertical="top" wrapText="1"/>
    </xf>
    <xf numFmtId="0" fontId="6" fillId="13" borderId="36" xfId="0" applyFont="1" applyFill="1" applyBorder="1" applyAlignment="1">
      <alignment horizontal="center" vertical="top" wrapText="1"/>
    </xf>
    <xf numFmtId="0" fontId="6" fillId="13" borderId="8" xfId="0" applyFont="1" applyFill="1" applyBorder="1" applyAlignment="1">
      <alignment horizontal="center" vertical="top" wrapText="1"/>
    </xf>
    <xf numFmtId="0" fontId="3" fillId="4" borderId="3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left" vertical="center" wrapText="1"/>
    </xf>
    <xf numFmtId="0" fontId="3" fillId="12" borderId="10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6" borderId="59" xfId="0" applyFont="1" applyFill="1" applyBorder="1" applyAlignment="1">
      <alignment horizontal="left" vertical="center" wrapText="1"/>
    </xf>
  </cellXfs>
  <cellStyles count="1">
    <cellStyle name="표준" xfId="0" builtinId="0"/>
  </cellStyles>
  <dxfs count="8">
    <dxf>
      <fill>
        <patternFill>
          <bgColor rgb="FFBEFDB9"/>
        </patternFill>
      </fill>
    </dxf>
    <dxf>
      <fill>
        <patternFill>
          <bgColor rgb="FF7DE26C"/>
        </patternFill>
      </fill>
    </dxf>
    <dxf>
      <fill>
        <patternFill>
          <bgColor rgb="FFF7B163"/>
        </patternFill>
      </fill>
    </dxf>
    <dxf>
      <fill>
        <patternFill>
          <bgColor rgb="FFFF1D1D"/>
        </patternFill>
      </fill>
    </dxf>
    <dxf>
      <fill>
        <patternFill>
          <bgColor rgb="FFBEFDB9"/>
        </patternFill>
      </fill>
    </dxf>
    <dxf>
      <fill>
        <patternFill>
          <bgColor rgb="FF7DE26C"/>
        </patternFill>
      </fill>
    </dxf>
    <dxf>
      <fill>
        <patternFill>
          <bgColor rgb="FFF7B163"/>
        </patternFill>
      </fill>
    </dxf>
    <dxf>
      <fill>
        <patternFill>
          <bgColor rgb="FFFF1D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302559</xdr:colOff>
      <xdr:row>14</xdr:row>
      <xdr:rowOff>515472</xdr:rowOff>
    </xdr:from>
    <xdr:to>
      <xdr:col>12</xdr:col>
      <xdr:colOff>721599</xdr:colOff>
      <xdr:row>15</xdr:row>
      <xdr:rowOff>388891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F37C2-3963-4D58-9098-842A15733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2618" y="6846796"/>
          <a:ext cx="7680452" cy="66903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BB7D-E1D5-4779-88AF-2A0FB44B4CBF}">
  <sheetPr>
    <pageSetUpPr fitToPage="1"/>
  </sheetPr>
  <dimension ref="A1:S40"/>
  <sheetViews>
    <sheetView tabSelected="1" zoomScale="85" zoomScaleNormal="85" workbookViewId="0">
      <selection activeCell="D12" sqref="D12:G12"/>
    </sheetView>
  </sheetViews>
  <sheetFormatPr defaultRowHeight="16.5" x14ac:dyDescent="0.3"/>
  <cols>
    <col min="1" max="1" width="5.75" customWidth="1"/>
    <col min="2" max="15" width="11.875" customWidth="1"/>
    <col min="16" max="16" width="11.75" customWidth="1"/>
    <col min="17" max="17" width="6" customWidth="1"/>
  </cols>
  <sheetData>
    <row r="1" spans="1:19" ht="24.75" customHeight="1" thickTop="1" thickBot="1" x14ac:dyDescent="0.35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9"/>
      <c r="P1" s="130">
        <f>IF(D29="",0,1)</f>
        <v>0</v>
      </c>
      <c r="Q1" s="131"/>
      <c r="R1" s="131"/>
      <c r="S1" s="132"/>
    </row>
    <row r="2" spans="1:19" ht="25.5" customHeight="1" x14ac:dyDescent="0.3">
      <c r="A2" s="59" t="s">
        <v>32</v>
      </c>
      <c r="B2" s="60"/>
      <c r="C2" s="61"/>
      <c r="D2" s="16" t="s">
        <v>0</v>
      </c>
      <c r="E2" s="16" t="s">
        <v>1</v>
      </c>
      <c r="F2" s="135">
        <v>9</v>
      </c>
      <c r="G2" s="137" t="s">
        <v>108</v>
      </c>
      <c r="H2" s="137"/>
      <c r="I2" s="137"/>
      <c r="J2" s="137"/>
      <c r="K2" s="138"/>
      <c r="L2" s="133" t="s">
        <v>2</v>
      </c>
      <c r="M2" s="133"/>
      <c r="N2" s="133"/>
      <c r="O2" s="133"/>
      <c r="P2" s="133"/>
      <c r="Q2" s="133"/>
      <c r="R2" s="133"/>
      <c r="S2" s="134"/>
    </row>
    <row r="3" spans="1:19" ht="20.25" customHeight="1" x14ac:dyDescent="0.3">
      <c r="A3" s="62"/>
      <c r="B3" s="63"/>
      <c r="C3" s="64"/>
      <c r="D3" s="122">
        <f ca="1">TODAY()</f>
        <v>46072</v>
      </c>
      <c r="E3" s="41" t="s">
        <v>107</v>
      </c>
      <c r="F3" s="136"/>
      <c r="G3" s="139"/>
      <c r="H3" s="139"/>
      <c r="I3" s="139"/>
      <c r="J3" s="139"/>
      <c r="K3" s="140"/>
      <c r="L3" s="120" t="s">
        <v>33</v>
      </c>
      <c r="M3" s="120"/>
      <c r="N3" s="120" t="s">
        <v>34</v>
      </c>
      <c r="O3" s="120"/>
      <c r="P3" s="120" t="s">
        <v>35</v>
      </c>
      <c r="Q3" s="120"/>
      <c r="R3" s="120" t="s">
        <v>36</v>
      </c>
      <c r="S3" s="121"/>
    </row>
    <row r="4" spans="1:19" ht="10.5" customHeight="1" x14ac:dyDescent="0.3">
      <c r="A4" s="154" t="s">
        <v>3</v>
      </c>
      <c r="B4" s="155"/>
      <c r="C4" s="155"/>
      <c r="D4" s="123"/>
      <c r="E4" s="57" t="str">
        <f>VLOOKUP(F2,월일!A3:B14,2,0)</f>
        <v>( 9월 1일 ~ 9월 30일 )</v>
      </c>
      <c r="F4" s="141" t="s">
        <v>62</v>
      </c>
      <c r="G4" s="142"/>
      <c r="H4" s="142"/>
      <c r="I4" s="142"/>
      <c r="J4" s="142"/>
      <c r="K4" s="142"/>
      <c r="L4" s="120"/>
      <c r="M4" s="120"/>
      <c r="N4" s="120"/>
      <c r="O4" s="120"/>
      <c r="P4" s="120"/>
      <c r="Q4" s="120"/>
      <c r="R4" s="120"/>
      <c r="S4" s="121"/>
    </row>
    <row r="5" spans="1:19" ht="13.5" customHeight="1" x14ac:dyDescent="0.3">
      <c r="A5" s="154"/>
      <c r="B5" s="155"/>
      <c r="C5" s="155"/>
      <c r="D5" s="123"/>
      <c r="E5" s="57"/>
      <c r="F5" s="143"/>
      <c r="G5" s="143"/>
      <c r="H5" s="143"/>
      <c r="I5" s="143"/>
      <c r="J5" s="143"/>
      <c r="K5" s="143"/>
      <c r="L5" s="124" t="s">
        <v>4</v>
      </c>
      <c r="M5" s="124"/>
      <c r="N5" s="124" t="s">
        <v>4</v>
      </c>
      <c r="O5" s="124"/>
      <c r="P5" s="124" t="s">
        <v>37</v>
      </c>
      <c r="Q5" s="124"/>
      <c r="R5" s="124" t="s">
        <v>4</v>
      </c>
      <c r="S5" s="156"/>
    </row>
    <row r="6" spans="1:19" ht="35.25" customHeight="1" x14ac:dyDescent="0.3">
      <c r="A6" s="157" t="s">
        <v>106</v>
      </c>
      <c r="B6" s="158"/>
      <c r="C6" s="158"/>
      <c r="D6" s="123"/>
      <c r="E6" s="58"/>
      <c r="F6" s="143"/>
      <c r="G6" s="143"/>
      <c r="H6" s="143"/>
      <c r="I6" s="143"/>
      <c r="J6" s="143"/>
      <c r="K6" s="143"/>
      <c r="L6" s="124"/>
      <c r="M6" s="124"/>
      <c r="N6" s="124"/>
      <c r="O6" s="124"/>
      <c r="P6" s="124"/>
      <c r="Q6" s="124"/>
      <c r="R6" s="124"/>
      <c r="S6" s="156"/>
    </row>
    <row r="7" spans="1:19" ht="34.5" customHeight="1" x14ac:dyDescent="0.3">
      <c r="A7" s="17">
        <f>F2</f>
        <v>9</v>
      </c>
      <c r="B7" s="152" t="s">
        <v>46</v>
      </c>
      <c r="C7" s="153"/>
      <c r="D7" s="126" t="s">
        <v>43</v>
      </c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7"/>
    </row>
    <row r="8" spans="1:19" ht="17.25" customHeight="1" x14ac:dyDescent="0.3">
      <c r="A8" s="144" t="s">
        <v>81</v>
      </c>
      <c r="B8" s="150" t="s">
        <v>80</v>
      </c>
      <c r="C8" s="151" t="s">
        <v>5</v>
      </c>
      <c r="D8" s="145" t="s">
        <v>45</v>
      </c>
      <c r="E8" s="145"/>
      <c r="F8" s="145"/>
      <c r="G8" s="145"/>
      <c r="H8" s="145" t="s">
        <v>6</v>
      </c>
      <c r="I8" s="145"/>
      <c r="J8" s="145"/>
      <c r="K8" s="146" t="s">
        <v>7</v>
      </c>
      <c r="L8" s="146"/>
      <c r="M8" s="146"/>
      <c r="N8" s="146"/>
      <c r="O8" s="146"/>
      <c r="P8" s="147" t="s">
        <v>44</v>
      </c>
      <c r="Q8" s="147"/>
      <c r="R8" s="148" t="s">
        <v>61</v>
      </c>
      <c r="S8" s="149"/>
    </row>
    <row r="9" spans="1:19" ht="34.5" customHeight="1" thickBot="1" x14ac:dyDescent="0.35">
      <c r="A9" s="80"/>
      <c r="B9" s="119"/>
      <c r="C9" s="97"/>
      <c r="D9" s="104"/>
      <c r="E9" s="104"/>
      <c r="F9" s="104"/>
      <c r="G9" s="104"/>
      <c r="H9" s="34" t="s">
        <v>40</v>
      </c>
      <c r="I9" s="34" t="s">
        <v>41</v>
      </c>
      <c r="J9" s="35" t="s">
        <v>42</v>
      </c>
      <c r="K9" s="159" t="s">
        <v>76</v>
      </c>
      <c r="L9" s="159"/>
      <c r="M9" s="159"/>
      <c r="N9" s="159"/>
      <c r="O9" s="159"/>
      <c r="P9" s="92"/>
      <c r="Q9" s="92"/>
      <c r="R9" s="75"/>
      <c r="S9" s="76"/>
    </row>
    <row r="10" spans="1:19" ht="63" customHeight="1" thickTop="1" x14ac:dyDescent="0.3">
      <c r="A10" s="32">
        <v>1</v>
      </c>
      <c r="B10" s="24" t="s">
        <v>47</v>
      </c>
      <c r="C10" s="33" t="s">
        <v>55</v>
      </c>
      <c r="D10" s="125" t="s">
        <v>8</v>
      </c>
      <c r="E10" s="125"/>
      <c r="F10" s="125"/>
      <c r="G10" s="125"/>
      <c r="H10" s="33">
        <v>2</v>
      </c>
      <c r="I10" s="33">
        <v>5</v>
      </c>
      <c r="J10" s="33">
        <f>IF((H10="")*OR(I10=""),"",H10*I10)</f>
        <v>10</v>
      </c>
      <c r="K10" s="115" t="s">
        <v>48</v>
      </c>
      <c r="L10" s="114"/>
      <c r="M10" s="114"/>
      <c r="N10" s="114"/>
      <c r="O10" s="114"/>
      <c r="P10" s="116" t="s">
        <v>38</v>
      </c>
      <c r="Q10" s="116"/>
      <c r="R10" s="116"/>
      <c r="S10" s="117"/>
    </row>
    <row r="11" spans="1:19" ht="63" customHeight="1" x14ac:dyDescent="0.3">
      <c r="A11" s="26">
        <v>2</v>
      </c>
      <c r="B11" s="24" t="s">
        <v>47</v>
      </c>
      <c r="C11" s="27" t="s">
        <v>56</v>
      </c>
      <c r="D11" s="106" t="s">
        <v>49</v>
      </c>
      <c r="E11" s="106"/>
      <c r="F11" s="106"/>
      <c r="G11" s="106"/>
      <c r="H11" s="27">
        <v>3</v>
      </c>
      <c r="I11" s="27">
        <v>3</v>
      </c>
      <c r="J11" s="27">
        <f>IF((H11="")*OR(I11=""),0,H11*I11)</f>
        <v>9</v>
      </c>
      <c r="K11" s="106" t="s">
        <v>50</v>
      </c>
      <c r="L11" s="105"/>
      <c r="M11" s="105"/>
      <c r="N11" s="105"/>
      <c r="O11" s="105"/>
      <c r="P11" s="98" t="s">
        <v>59</v>
      </c>
      <c r="Q11" s="98"/>
      <c r="R11" s="98"/>
      <c r="S11" s="99"/>
    </row>
    <row r="12" spans="1:19" ht="63" customHeight="1" x14ac:dyDescent="0.3">
      <c r="A12" s="26">
        <v>3</v>
      </c>
      <c r="B12" s="24" t="s">
        <v>47</v>
      </c>
      <c r="C12" s="27" t="s">
        <v>57</v>
      </c>
      <c r="D12" s="106" t="s">
        <v>51</v>
      </c>
      <c r="E12" s="106"/>
      <c r="F12" s="106"/>
      <c r="G12" s="106"/>
      <c r="H12" s="27">
        <v>1</v>
      </c>
      <c r="I12" s="27">
        <v>5</v>
      </c>
      <c r="J12" s="27">
        <f t="shared" ref="J12:J16" si="0">IF((H12="")*OR(I12=""),0,H12*I12)</f>
        <v>5</v>
      </c>
      <c r="K12" s="107" t="s">
        <v>52</v>
      </c>
      <c r="L12" s="105"/>
      <c r="M12" s="105"/>
      <c r="N12" s="105"/>
      <c r="O12" s="105"/>
      <c r="P12" s="98" t="s">
        <v>60</v>
      </c>
      <c r="Q12" s="98"/>
      <c r="R12" s="98"/>
      <c r="S12" s="99"/>
    </row>
    <row r="13" spans="1:19" ht="32.1" customHeight="1" x14ac:dyDescent="0.3">
      <c r="A13" s="26">
        <v>4</v>
      </c>
      <c r="B13" s="24" t="s">
        <v>47</v>
      </c>
      <c r="C13" s="27" t="s">
        <v>58</v>
      </c>
      <c r="D13" s="106" t="s">
        <v>53</v>
      </c>
      <c r="E13" s="106"/>
      <c r="F13" s="106"/>
      <c r="G13" s="106"/>
      <c r="H13" s="27">
        <v>2</v>
      </c>
      <c r="I13" s="27">
        <v>4</v>
      </c>
      <c r="J13" s="27">
        <f t="shared" si="0"/>
        <v>8</v>
      </c>
      <c r="K13" s="107" t="s">
        <v>54</v>
      </c>
      <c r="L13" s="105"/>
      <c r="M13" s="105"/>
      <c r="N13" s="105"/>
      <c r="O13" s="105"/>
      <c r="P13" s="98" t="s">
        <v>39</v>
      </c>
      <c r="Q13" s="98"/>
      <c r="R13" s="98"/>
      <c r="S13" s="99"/>
    </row>
    <row r="14" spans="1:19" ht="62.25" customHeight="1" x14ac:dyDescent="0.3">
      <c r="A14" s="26">
        <v>5</v>
      </c>
      <c r="B14" s="24"/>
      <c r="C14" s="27"/>
      <c r="D14" s="106"/>
      <c r="E14" s="106"/>
      <c r="F14" s="106"/>
      <c r="G14" s="106"/>
      <c r="H14" s="27">
        <v>1</v>
      </c>
      <c r="I14" s="27">
        <v>1</v>
      </c>
      <c r="J14" s="27">
        <f t="shared" si="0"/>
        <v>1</v>
      </c>
      <c r="K14" s="105"/>
      <c r="L14" s="105"/>
      <c r="M14" s="105"/>
      <c r="N14" s="105"/>
      <c r="O14" s="105"/>
      <c r="P14" s="98"/>
      <c r="Q14" s="98"/>
      <c r="R14" s="98"/>
      <c r="S14" s="99"/>
    </row>
    <row r="15" spans="1:19" ht="63" customHeight="1" x14ac:dyDescent="0.3">
      <c r="A15" s="26">
        <v>6</v>
      </c>
      <c r="B15" s="24"/>
      <c r="C15" s="27"/>
      <c r="D15" s="106"/>
      <c r="E15" s="106"/>
      <c r="F15" s="106"/>
      <c r="G15" s="106"/>
      <c r="H15" s="27"/>
      <c r="I15" s="27"/>
      <c r="J15" s="27">
        <f t="shared" si="0"/>
        <v>0</v>
      </c>
      <c r="K15" s="105"/>
      <c r="L15" s="105"/>
      <c r="M15" s="105"/>
      <c r="N15" s="105"/>
      <c r="O15" s="105"/>
      <c r="P15" s="98"/>
      <c r="Q15" s="98"/>
      <c r="R15" s="98"/>
      <c r="S15" s="99"/>
    </row>
    <row r="16" spans="1:19" ht="62.25" customHeight="1" x14ac:dyDescent="0.3">
      <c r="A16" s="28">
        <v>7</v>
      </c>
      <c r="B16" s="37"/>
      <c r="C16" s="25"/>
      <c r="D16" s="100"/>
      <c r="E16" s="100"/>
      <c r="F16" s="100"/>
      <c r="G16" s="100"/>
      <c r="H16" s="25"/>
      <c r="I16" s="25"/>
      <c r="J16" s="25">
        <f t="shared" si="0"/>
        <v>0</v>
      </c>
      <c r="K16" s="101"/>
      <c r="L16" s="101"/>
      <c r="M16" s="101"/>
      <c r="N16" s="101"/>
      <c r="O16" s="101"/>
      <c r="P16" s="102"/>
      <c r="Q16" s="102"/>
      <c r="R16" s="102"/>
      <c r="S16" s="103"/>
    </row>
    <row r="17" spans="1:19" ht="9" customHeight="1" thickBot="1" x14ac:dyDescent="0.35">
      <c r="A17" s="18"/>
      <c r="S17" s="19"/>
    </row>
    <row r="18" spans="1:19" ht="18" customHeight="1" x14ac:dyDescent="0.3">
      <c r="A18" s="93" t="s">
        <v>9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5"/>
    </row>
    <row r="19" spans="1:19" s="3" customFormat="1" ht="24.75" customHeight="1" x14ac:dyDescent="0.3">
      <c r="A19" s="108" t="s">
        <v>102</v>
      </c>
      <c r="B19" s="10" t="s">
        <v>63</v>
      </c>
      <c r="C19" s="2" t="s">
        <v>10</v>
      </c>
      <c r="D19" s="2" t="s">
        <v>11</v>
      </c>
      <c r="E19" s="2" t="s">
        <v>12</v>
      </c>
      <c r="F19" s="10" t="s">
        <v>65</v>
      </c>
      <c r="G19" s="14" t="s">
        <v>68</v>
      </c>
      <c r="H19" s="1" t="s">
        <v>13</v>
      </c>
      <c r="I19" s="2" t="s">
        <v>14</v>
      </c>
      <c r="J19" s="2" t="s">
        <v>15</v>
      </c>
      <c r="K19" s="2" t="s">
        <v>16</v>
      </c>
      <c r="L19" s="2" t="s">
        <v>17</v>
      </c>
      <c r="M19" s="2" t="s">
        <v>18</v>
      </c>
      <c r="N19" s="14" t="s">
        <v>66</v>
      </c>
      <c r="O19" s="1" t="s">
        <v>19</v>
      </c>
      <c r="P19" s="45">
        <f>F2</f>
        <v>9</v>
      </c>
      <c r="Q19" s="46"/>
      <c r="R19" s="46"/>
      <c r="S19" s="47"/>
    </row>
    <row r="20" spans="1:19" s="3" customFormat="1" ht="31.5" customHeight="1" x14ac:dyDescent="0.3">
      <c r="A20" s="108"/>
      <c r="B20" s="42" t="s">
        <v>103</v>
      </c>
      <c r="C20" s="42" t="s">
        <v>104</v>
      </c>
      <c r="D20" s="42" t="s">
        <v>105</v>
      </c>
      <c r="E20" s="42" t="s">
        <v>64</v>
      </c>
      <c r="F20" s="42" t="s">
        <v>64</v>
      </c>
      <c r="G20" s="42" t="s">
        <v>64</v>
      </c>
      <c r="H20" s="42" t="s">
        <v>64</v>
      </c>
      <c r="I20" s="42" t="s">
        <v>64</v>
      </c>
      <c r="J20" s="42" t="s">
        <v>64</v>
      </c>
      <c r="K20" s="42" t="s">
        <v>64</v>
      </c>
      <c r="L20" s="42" t="s">
        <v>64</v>
      </c>
      <c r="M20" s="42" t="s">
        <v>64</v>
      </c>
      <c r="N20" s="42" t="s">
        <v>64</v>
      </c>
      <c r="O20" s="42" t="s">
        <v>64</v>
      </c>
      <c r="P20" s="48"/>
      <c r="Q20" s="49"/>
      <c r="R20" s="49"/>
      <c r="S20" s="50"/>
    </row>
    <row r="21" spans="1:19" s="3" customFormat="1" ht="24.75" customHeight="1" x14ac:dyDescent="0.3">
      <c r="A21" s="108"/>
      <c r="B21" s="2" t="s">
        <v>20</v>
      </c>
      <c r="C21" s="2" t="s">
        <v>21</v>
      </c>
      <c r="D21" s="2" t="s">
        <v>22</v>
      </c>
      <c r="E21" s="2" t="s">
        <v>23</v>
      </c>
      <c r="F21" s="2" t="s">
        <v>24</v>
      </c>
      <c r="G21" s="14" t="s">
        <v>69</v>
      </c>
      <c r="H21" s="1" t="s">
        <v>25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30</v>
      </c>
      <c r="N21" s="14" t="s">
        <v>67</v>
      </c>
      <c r="O21" s="1" t="s">
        <v>31</v>
      </c>
      <c r="P21" s="51" t="s">
        <v>82</v>
      </c>
      <c r="Q21" s="52"/>
      <c r="R21" s="52"/>
      <c r="S21" s="53"/>
    </row>
    <row r="22" spans="1:19" s="3" customFormat="1" ht="31.5" customHeight="1" thickBot="1" x14ac:dyDescent="0.35">
      <c r="A22" s="108"/>
      <c r="B22" s="42" t="s">
        <v>64</v>
      </c>
      <c r="C22" s="42" t="s">
        <v>64</v>
      </c>
      <c r="D22" s="42" t="s">
        <v>64</v>
      </c>
      <c r="E22" s="42" t="s">
        <v>64</v>
      </c>
      <c r="F22" s="43" t="s">
        <v>64</v>
      </c>
      <c r="G22" s="43" t="s">
        <v>64</v>
      </c>
      <c r="H22" s="43" t="s">
        <v>64</v>
      </c>
      <c r="I22" s="43" t="s">
        <v>64</v>
      </c>
      <c r="J22" s="43" t="s">
        <v>64</v>
      </c>
      <c r="K22" s="43" t="s">
        <v>64</v>
      </c>
      <c r="L22" s="43" t="s">
        <v>64</v>
      </c>
      <c r="M22" s="43" t="s">
        <v>64</v>
      </c>
      <c r="N22" s="43" t="s">
        <v>64</v>
      </c>
      <c r="O22" s="43" t="s">
        <v>64</v>
      </c>
      <c r="P22" s="54"/>
      <c r="Q22" s="55"/>
      <c r="R22" s="55"/>
      <c r="S22" s="56"/>
    </row>
    <row r="23" spans="1:19" s="3" customFormat="1" ht="24.75" customHeight="1" x14ac:dyDescent="0.3">
      <c r="A23" s="108"/>
      <c r="B23" s="2" t="str">
        <f>IF(VLOOKUP(F2,월일!A3:F14,4,0)=0,"",VLOOKUP(F2,월일!A3:F14,4,0))</f>
        <v>29일</v>
      </c>
      <c r="C23" s="2" t="str">
        <f>IF(VLOOKUP(F2,월일!A3:F14,5,0)=0,"",VLOOKUP(F2,월일!A3:F14,5,0))</f>
        <v>30일</v>
      </c>
      <c r="D23" s="2" t="str">
        <f>IF(VLOOKUP(F2,월일!A3:F14,6,0)=0,"",VLOOKUP(F2,월일!A3:F14,6,0))</f>
        <v/>
      </c>
      <c r="E23" s="15"/>
      <c r="F23" s="81" t="s">
        <v>70</v>
      </c>
      <c r="G23" s="82"/>
      <c r="H23" s="22">
        <v>1</v>
      </c>
      <c r="I23" s="85" t="s">
        <v>83</v>
      </c>
      <c r="J23" s="22">
        <v>2</v>
      </c>
      <c r="K23" s="87" t="s">
        <v>78</v>
      </c>
      <c r="L23" s="22">
        <v>3</v>
      </c>
      <c r="M23" s="87" t="s">
        <v>77</v>
      </c>
      <c r="N23" s="22">
        <v>4</v>
      </c>
      <c r="O23" s="87" t="s">
        <v>85</v>
      </c>
      <c r="P23" s="22">
        <v>5</v>
      </c>
      <c r="Q23" s="110" t="s">
        <v>75</v>
      </c>
      <c r="R23" s="110"/>
      <c r="S23" s="111"/>
    </row>
    <row r="24" spans="1:19" s="3" customFormat="1" ht="31.5" customHeight="1" thickBot="1" x14ac:dyDescent="0.35">
      <c r="A24" s="109"/>
      <c r="B24" s="44" t="s">
        <v>64</v>
      </c>
      <c r="C24" s="44" t="s">
        <v>64</v>
      </c>
      <c r="D24" s="44" t="s">
        <v>64</v>
      </c>
      <c r="E24" s="20"/>
      <c r="F24" s="83"/>
      <c r="G24" s="84"/>
      <c r="H24" s="36" t="s">
        <v>84</v>
      </c>
      <c r="I24" s="86"/>
      <c r="J24" s="23" t="s">
        <v>71</v>
      </c>
      <c r="K24" s="88"/>
      <c r="L24" s="23" t="s">
        <v>73</v>
      </c>
      <c r="M24" s="88"/>
      <c r="N24" s="23" t="s">
        <v>72</v>
      </c>
      <c r="O24" s="88"/>
      <c r="P24" s="23" t="s">
        <v>74</v>
      </c>
      <c r="Q24" s="112"/>
      <c r="R24" s="112"/>
      <c r="S24" s="113"/>
    </row>
    <row r="25" spans="1:19" s="3" customFormat="1" ht="21.95" customHeight="1" x14ac:dyDescent="0.3">
      <c r="A25" s="9"/>
      <c r="B25" s="9"/>
      <c r="C25" s="6"/>
      <c r="D25" s="6"/>
      <c r="E25" s="6"/>
      <c r="F25" s="6"/>
      <c r="G25" s="6"/>
      <c r="H25" s="7"/>
      <c r="P25" s="11"/>
      <c r="R25" s="11"/>
      <c r="S25" s="11"/>
    </row>
    <row r="26" spans="1:19" s="3" customFormat="1" ht="21.95" customHeight="1" thickBot="1" x14ac:dyDescent="0.35">
      <c r="A26" s="40" t="s">
        <v>79</v>
      </c>
      <c r="B26" s="8"/>
      <c r="C26" s="8"/>
      <c r="D26" s="8"/>
      <c r="E26" s="8"/>
      <c r="F26" s="8"/>
      <c r="G26" s="8"/>
      <c r="H26" s="8"/>
      <c r="P26" s="13"/>
      <c r="R26" s="13"/>
      <c r="S26" s="12"/>
    </row>
    <row r="27" spans="1:19" s="3" customFormat="1" ht="18" customHeight="1" x14ac:dyDescent="0.3">
      <c r="A27" s="79" t="s">
        <v>81</v>
      </c>
      <c r="B27" s="118" t="s">
        <v>80</v>
      </c>
      <c r="C27" s="96" t="s">
        <v>5</v>
      </c>
      <c r="D27" s="89" t="s">
        <v>45</v>
      </c>
      <c r="E27" s="89"/>
      <c r="F27" s="89"/>
      <c r="G27" s="89"/>
      <c r="H27" s="89" t="s">
        <v>6</v>
      </c>
      <c r="I27" s="89"/>
      <c r="J27" s="89"/>
      <c r="K27" s="90" t="s">
        <v>7</v>
      </c>
      <c r="L27" s="90"/>
      <c r="M27" s="90"/>
      <c r="N27" s="90"/>
      <c r="O27" s="90"/>
      <c r="P27" s="91" t="s">
        <v>44</v>
      </c>
      <c r="Q27" s="91"/>
      <c r="R27" s="73" t="s">
        <v>61</v>
      </c>
      <c r="S27" s="74"/>
    </row>
    <row r="28" spans="1:19" s="3" customFormat="1" ht="34.5" customHeight="1" thickBot="1" x14ac:dyDescent="0.35">
      <c r="A28" s="80"/>
      <c r="B28" s="119"/>
      <c r="C28" s="97"/>
      <c r="D28" s="104"/>
      <c r="E28" s="104"/>
      <c r="F28" s="104"/>
      <c r="G28" s="104"/>
      <c r="H28" s="34" t="s">
        <v>40</v>
      </c>
      <c r="I28" s="34" t="s">
        <v>41</v>
      </c>
      <c r="J28" s="35" t="s">
        <v>42</v>
      </c>
      <c r="K28" s="159" t="s">
        <v>76</v>
      </c>
      <c r="L28" s="159"/>
      <c r="M28" s="159"/>
      <c r="N28" s="159"/>
      <c r="O28" s="159"/>
      <c r="P28" s="92"/>
      <c r="Q28" s="92"/>
      <c r="R28" s="75"/>
      <c r="S28" s="76"/>
    </row>
    <row r="29" spans="1:19" ht="63" customHeight="1" thickTop="1" x14ac:dyDescent="0.3">
      <c r="A29" s="32">
        <v>8</v>
      </c>
      <c r="B29" s="24"/>
      <c r="C29" s="33"/>
      <c r="D29" s="114"/>
      <c r="E29" s="114"/>
      <c r="F29" s="114"/>
      <c r="G29" s="114"/>
      <c r="H29" s="33"/>
      <c r="I29" s="33"/>
      <c r="J29" s="33">
        <f>IF((H29="")*OR(I29=""),0,H29*I29)</f>
        <v>0</v>
      </c>
      <c r="K29" s="115"/>
      <c r="L29" s="114"/>
      <c r="M29" s="114"/>
      <c r="N29" s="114"/>
      <c r="O29" s="114"/>
      <c r="P29" s="116"/>
      <c r="Q29" s="116"/>
      <c r="R29" s="116"/>
      <c r="S29" s="117"/>
    </row>
    <row r="30" spans="1:19" ht="63" customHeight="1" x14ac:dyDescent="0.3">
      <c r="A30" s="26">
        <v>9</v>
      </c>
      <c r="B30" s="38"/>
      <c r="C30" s="27"/>
      <c r="D30" s="105"/>
      <c r="E30" s="105"/>
      <c r="F30" s="105"/>
      <c r="G30" s="105"/>
      <c r="H30" s="27"/>
      <c r="I30" s="27"/>
      <c r="J30" s="27">
        <f>IF((H30="")*OR(I30=""),0,H30*I30)</f>
        <v>0</v>
      </c>
      <c r="K30" s="106"/>
      <c r="L30" s="105"/>
      <c r="M30" s="105"/>
      <c r="N30" s="105"/>
      <c r="O30" s="105"/>
      <c r="P30" s="98"/>
      <c r="Q30" s="98"/>
      <c r="R30" s="98"/>
      <c r="S30" s="99"/>
    </row>
    <row r="31" spans="1:19" ht="63" customHeight="1" x14ac:dyDescent="0.3">
      <c r="A31" s="26">
        <v>10</v>
      </c>
      <c r="B31" s="38"/>
      <c r="C31" s="27"/>
      <c r="D31" s="105"/>
      <c r="E31" s="105"/>
      <c r="F31" s="105"/>
      <c r="G31" s="105"/>
      <c r="H31" s="27"/>
      <c r="I31" s="27"/>
      <c r="J31" s="27">
        <f t="shared" ref="J31:J40" si="1">IF((H31="")*OR(I31=""),0,H31*I31)</f>
        <v>0</v>
      </c>
      <c r="K31" s="107"/>
      <c r="L31" s="105"/>
      <c r="M31" s="105"/>
      <c r="N31" s="105"/>
      <c r="O31" s="105"/>
      <c r="P31" s="98"/>
      <c r="Q31" s="98"/>
      <c r="R31" s="98"/>
      <c r="S31" s="99"/>
    </row>
    <row r="32" spans="1:19" ht="62.25" customHeight="1" x14ac:dyDescent="0.3">
      <c r="A32" s="21">
        <v>11</v>
      </c>
      <c r="B32" s="5"/>
      <c r="C32" s="4"/>
      <c r="D32" s="65"/>
      <c r="E32" s="65"/>
      <c r="F32" s="65"/>
      <c r="G32" s="65"/>
      <c r="H32" s="4"/>
      <c r="I32" s="4"/>
      <c r="J32" s="27">
        <f t="shared" si="1"/>
        <v>0</v>
      </c>
      <c r="K32" s="71"/>
      <c r="L32" s="65"/>
      <c r="M32" s="65"/>
      <c r="N32" s="65"/>
      <c r="O32" s="65"/>
      <c r="P32" s="66"/>
      <c r="Q32" s="66"/>
      <c r="R32" s="66"/>
      <c r="S32" s="67"/>
    </row>
    <row r="33" spans="1:19" ht="63" customHeight="1" x14ac:dyDescent="0.3">
      <c r="A33" s="21">
        <v>12</v>
      </c>
      <c r="B33" s="5"/>
      <c r="C33" s="4"/>
      <c r="D33" s="65"/>
      <c r="E33" s="65"/>
      <c r="F33" s="65"/>
      <c r="G33" s="65"/>
      <c r="H33" s="4"/>
      <c r="I33" s="4"/>
      <c r="J33" s="27">
        <f t="shared" si="1"/>
        <v>0</v>
      </c>
      <c r="K33" s="65"/>
      <c r="L33" s="65"/>
      <c r="M33" s="65"/>
      <c r="N33" s="65"/>
      <c r="O33" s="65"/>
      <c r="P33" s="66"/>
      <c r="Q33" s="66"/>
      <c r="R33" s="66"/>
      <c r="S33" s="67"/>
    </row>
    <row r="34" spans="1:19" ht="63" customHeight="1" x14ac:dyDescent="0.3">
      <c r="A34" s="21">
        <v>13</v>
      </c>
      <c r="B34" s="5"/>
      <c r="C34" s="4"/>
      <c r="D34" s="65"/>
      <c r="E34" s="65"/>
      <c r="F34" s="65"/>
      <c r="G34" s="65"/>
      <c r="H34" s="4"/>
      <c r="I34" s="4"/>
      <c r="J34" s="27">
        <f t="shared" si="1"/>
        <v>0</v>
      </c>
      <c r="K34" s="65"/>
      <c r="L34" s="65"/>
      <c r="M34" s="65"/>
      <c r="N34" s="65"/>
      <c r="O34" s="65"/>
      <c r="P34" s="66"/>
      <c r="Q34" s="66"/>
      <c r="R34" s="66"/>
      <c r="S34" s="67"/>
    </row>
    <row r="35" spans="1:19" ht="63" customHeight="1" x14ac:dyDescent="0.3">
      <c r="A35" s="21">
        <v>14</v>
      </c>
      <c r="B35" s="5"/>
      <c r="C35" s="4"/>
      <c r="D35" s="77"/>
      <c r="E35" s="77"/>
      <c r="F35" s="77"/>
      <c r="G35" s="77"/>
      <c r="H35" s="4"/>
      <c r="I35" s="4"/>
      <c r="J35" s="27">
        <f t="shared" si="1"/>
        <v>0</v>
      </c>
      <c r="K35" s="78"/>
      <c r="L35" s="77"/>
      <c r="M35" s="77"/>
      <c r="N35" s="77"/>
      <c r="O35" s="77"/>
      <c r="P35" s="66"/>
      <c r="Q35" s="66"/>
      <c r="R35" s="66"/>
      <c r="S35" s="67"/>
    </row>
    <row r="36" spans="1:19" ht="63" customHeight="1" x14ac:dyDescent="0.3">
      <c r="A36" s="21">
        <v>15</v>
      </c>
      <c r="B36" s="5"/>
      <c r="C36" s="4"/>
      <c r="D36" s="65"/>
      <c r="E36" s="65"/>
      <c r="F36" s="65"/>
      <c r="G36" s="65"/>
      <c r="H36" s="4"/>
      <c r="I36" s="4"/>
      <c r="J36" s="27">
        <f t="shared" si="1"/>
        <v>0</v>
      </c>
      <c r="K36" s="72"/>
      <c r="L36" s="65"/>
      <c r="M36" s="65"/>
      <c r="N36" s="65"/>
      <c r="O36" s="65"/>
      <c r="P36" s="66"/>
      <c r="Q36" s="66"/>
      <c r="R36" s="66"/>
      <c r="S36" s="67"/>
    </row>
    <row r="37" spans="1:19" ht="63" customHeight="1" x14ac:dyDescent="0.3">
      <c r="A37" s="21">
        <v>16</v>
      </c>
      <c r="B37" s="5"/>
      <c r="C37" s="4"/>
      <c r="D37" s="65"/>
      <c r="E37" s="65"/>
      <c r="F37" s="65"/>
      <c r="G37" s="65"/>
      <c r="H37" s="4"/>
      <c r="I37" s="4"/>
      <c r="J37" s="27">
        <f t="shared" si="1"/>
        <v>0</v>
      </c>
      <c r="K37" s="71"/>
      <c r="L37" s="65"/>
      <c r="M37" s="65"/>
      <c r="N37" s="65"/>
      <c r="O37" s="65"/>
      <c r="P37" s="66"/>
      <c r="Q37" s="66"/>
      <c r="R37" s="66"/>
      <c r="S37" s="67"/>
    </row>
    <row r="38" spans="1:19" ht="62.25" customHeight="1" x14ac:dyDescent="0.3">
      <c r="A38" s="21">
        <v>17</v>
      </c>
      <c r="B38" s="5"/>
      <c r="C38" s="4"/>
      <c r="D38" s="65"/>
      <c r="E38" s="65"/>
      <c r="F38" s="65"/>
      <c r="G38" s="65"/>
      <c r="H38" s="4"/>
      <c r="I38" s="4"/>
      <c r="J38" s="27">
        <f t="shared" si="1"/>
        <v>0</v>
      </c>
      <c r="K38" s="71"/>
      <c r="L38" s="65"/>
      <c r="M38" s="65"/>
      <c r="N38" s="65"/>
      <c r="O38" s="65"/>
      <c r="P38" s="66"/>
      <c r="Q38" s="66"/>
      <c r="R38" s="66"/>
      <c r="S38" s="67"/>
    </row>
    <row r="39" spans="1:19" ht="63" customHeight="1" x14ac:dyDescent="0.3">
      <c r="A39" s="21">
        <v>18</v>
      </c>
      <c r="B39" s="5"/>
      <c r="C39" s="4"/>
      <c r="D39" s="65"/>
      <c r="E39" s="65"/>
      <c r="F39" s="65"/>
      <c r="G39" s="65"/>
      <c r="H39" s="4"/>
      <c r="I39" s="4"/>
      <c r="J39" s="27">
        <f t="shared" si="1"/>
        <v>0</v>
      </c>
      <c r="K39" s="65"/>
      <c r="L39" s="65"/>
      <c r="M39" s="65"/>
      <c r="N39" s="65"/>
      <c r="O39" s="65"/>
      <c r="P39" s="66"/>
      <c r="Q39" s="66"/>
      <c r="R39" s="66"/>
      <c r="S39" s="67"/>
    </row>
    <row r="40" spans="1:19" ht="63" customHeight="1" thickBot="1" x14ac:dyDescent="0.35">
      <c r="A40" s="29">
        <v>19</v>
      </c>
      <c r="B40" s="39"/>
      <c r="C40" s="30"/>
      <c r="D40" s="68"/>
      <c r="E40" s="68"/>
      <c r="F40" s="68"/>
      <c r="G40" s="68"/>
      <c r="H40" s="30"/>
      <c r="I40" s="30"/>
      <c r="J40" s="31">
        <f t="shared" si="1"/>
        <v>0</v>
      </c>
      <c r="K40" s="68"/>
      <c r="L40" s="68"/>
      <c r="M40" s="68"/>
      <c r="N40" s="68"/>
      <c r="O40" s="68"/>
      <c r="P40" s="69"/>
      <c r="Q40" s="69"/>
      <c r="R40" s="69"/>
      <c r="S40" s="70"/>
    </row>
  </sheetData>
  <mergeCells count="125">
    <mergeCell ref="B1:O1"/>
    <mergeCell ref="P1:S1"/>
    <mergeCell ref="L2:S2"/>
    <mergeCell ref="F2:F3"/>
    <mergeCell ref="G2:K3"/>
    <mergeCell ref="F4:K6"/>
    <mergeCell ref="A8:A9"/>
    <mergeCell ref="H8:J8"/>
    <mergeCell ref="K8:O8"/>
    <mergeCell ref="K9:O9"/>
    <mergeCell ref="P8:Q9"/>
    <mergeCell ref="R8:S9"/>
    <mergeCell ref="D8:G9"/>
    <mergeCell ref="B8:B9"/>
    <mergeCell ref="C8:C9"/>
    <mergeCell ref="P5:Q6"/>
    <mergeCell ref="B7:C7"/>
    <mergeCell ref="A4:C5"/>
    <mergeCell ref="L5:M6"/>
    <mergeCell ref="R5:S6"/>
    <mergeCell ref="A6:C6"/>
    <mergeCell ref="N3:O4"/>
    <mergeCell ref="L3:M4"/>
    <mergeCell ref="P3:Q4"/>
    <mergeCell ref="R3:S4"/>
    <mergeCell ref="D3:D6"/>
    <mergeCell ref="N5:O6"/>
    <mergeCell ref="D10:G10"/>
    <mergeCell ref="K10:O10"/>
    <mergeCell ref="P10:Q10"/>
    <mergeCell ref="R10:S10"/>
    <mergeCell ref="D11:G11"/>
    <mergeCell ref="K11:O11"/>
    <mergeCell ref="P11:Q11"/>
    <mergeCell ref="R11:S11"/>
    <mergeCell ref="D7:S7"/>
    <mergeCell ref="D14:G14"/>
    <mergeCell ref="K14:O14"/>
    <mergeCell ref="P14:Q14"/>
    <mergeCell ref="R14:S14"/>
    <mergeCell ref="D15:G15"/>
    <mergeCell ref="K15:O15"/>
    <mergeCell ref="P15:Q15"/>
    <mergeCell ref="R15:S15"/>
    <mergeCell ref="D12:G12"/>
    <mergeCell ref="K12:O12"/>
    <mergeCell ref="P12:Q12"/>
    <mergeCell ref="R12:S12"/>
    <mergeCell ref="D13:G13"/>
    <mergeCell ref="K13:O13"/>
    <mergeCell ref="P13:Q13"/>
    <mergeCell ref="R13:S13"/>
    <mergeCell ref="A18:S18"/>
    <mergeCell ref="C27:C28"/>
    <mergeCell ref="R31:S31"/>
    <mergeCell ref="R34:S34"/>
    <mergeCell ref="D16:G16"/>
    <mergeCell ref="K16:O16"/>
    <mergeCell ref="P16:Q16"/>
    <mergeCell ref="R16:S16"/>
    <mergeCell ref="D27:G28"/>
    <mergeCell ref="D30:G30"/>
    <mergeCell ref="K30:O30"/>
    <mergeCell ref="P30:Q30"/>
    <mergeCell ref="R30:S30"/>
    <mergeCell ref="D31:G31"/>
    <mergeCell ref="K31:O31"/>
    <mergeCell ref="P31:Q31"/>
    <mergeCell ref="A19:A24"/>
    <mergeCell ref="Q23:S24"/>
    <mergeCell ref="D29:G29"/>
    <mergeCell ref="K29:O29"/>
    <mergeCell ref="P29:Q29"/>
    <mergeCell ref="R29:S29"/>
    <mergeCell ref="B27:B28"/>
    <mergeCell ref="A27:A28"/>
    <mergeCell ref="F23:G24"/>
    <mergeCell ref="I23:I24"/>
    <mergeCell ref="K23:K24"/>
    <mergeCell ref="M23:M24"/>
    <mergeCell ref="O23:O24"/>
    <mergeCell ref="H27:J27"/>
    <mergeCell ref="K27:O27"/>
    <mergeCell ref="P27:Q28"/>
    <mergeCell ref="K28:O28"/>
    <mergeCell ref="R27:S28"/>
    <mergeCell ref="R36:S36"/>
    <mergeCell ref="D34:G34"/>
    <mergeCell ref="K34:O34"/>
    <mergeCell ref="P34:Q34"/>
    <mergeCell ref="D35:G35"/>
    <mergeCell ref="K35:O35"/>
    <mergeCell ref="P35:Q35"/>
    <mergeCell ref="D32:G32"/>
    <mergeCell ref="K32:O32"/>
    <mergeCell ref="P32:Q32"/>
    <mergeCell ref="R32:S32"/>
    <mergeCell ref="D33:G33"/>
    <mergeCell ref="K33:O33"/>
    <mergeCell ref="P33:Q33"/>
    <mergeCell ref="R33:S33"/>
    <mergeCell ref="P19:S20"/>
    <mergeCell ref="P21:S22"/>
    <mergeCell ref="E4:E6"/>
    <mergeCell ref="A2:C3"/>
    <mergeCell ref="D39:G39"/>
    <mergeCell ref="K39:O39"/>
    <mergeCell ref="P39:Q39"/>
    <mergeCell ref="R39:S39"/>
    <mergeCell ref="D40:G40"/>
    <mergeCell ref="K40:O40"/>
    <mergeCell ref="P40:Q40"/>
    <mergeCell ref="R40:S40"/>
    <mergeCell ref="D37:G37"/>
    <mergeCell ref="K37:O37"/>
    <mergeCell ref="P37:Q37"/>
    <mergeCell ref="R37:S37"/>
    <mergeCell ref="D38:G38"/>
    <mergeCell ref="K38:O38"/>
    <mergeCell ref="P38:Q38"/>
    <mergeCell ref="R38:S38"/>
    <mergeCell ref="R35:S35"/>
    <mergeCell ref="D36:G36"/>
    <mergeCell ref="K36:O36"/>
    <mergeCell ref="P36:Q36"/>
  </mergeCells>
  <phoneticPr fontId="1" type="noConversion"/>
  <conditionalFormatting sqref="J10:J16">
    <cfRule type="cellIs" dxfId="7" priority="7" stopIfTrue="1" operator="greaterThan">
      <formula>8</formula>
    </cfRule>
    <cfRule type="cellIs" dxfId="6" priority="9" stopIfTrue="1" operator="greaterThan">
      <formula>6</formula>
    </cfRule>
    <cfRule type="cellIs" dxfId="5" priority="11" stopIfTrue="1" operator="greaterThan">
      <formula>3</formula>
    </cfRule>
    <cfRule type="cellIs" dxfId="4" priority="12" operator="lessThan">
      <formula>4</formula>
    </cfRule>
  </conditionalFormatting>
  <conditionalFormatting sqref="J29:J40">
    <cfRule type="cellIs" dxfId="3" priority="1" stopIfTrue="1" operator="greaterThan">
      <formula>8</formula>
    </cfRule>
    <cfRule type="cellIs" dxfId="2" priority="3" stopIfTrue="1" operator="greaterThan">
      <formula>6</formula>
    </cfRule>
    <cfRule type="cellIs" dxfId="1" priority="5" stopIfTrue="1" operator="greaterThan">
      <formula>3</formula>
    </cfRule>
    <cfRule type="cellIs" dxfId="0" priority="6" operator="lessThan">
      <formula>4</formula>
    </cfRule>
  </conditionalFormatting>
  <pageMargins left="0.70866141732283472" right="0.70866141732283472" top="0.74803149606299213" bottom="0.55118110236220474" header="0.31496062992125984" footer="0.31496062992125984"/>
  <pageSetup paperSize="9" scale="58" fitToHeight="0" orientation="landscape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F833-9D06-4511-8EDD-E1DEA35D0304}">
  <dimension ref="A3:F14"/>
  <sheetViews>
    <sheetView workbookViewId="0">
      <selection activeCell="B20" sqref="B20"/>
    </sheetView>
  </sheetViews>
  <sheetFormatPr defaultRowHeight="16.5" x14ac:dyDescent="0.3"/>
  <cols>
    <col min="2" max="2" width="19.875" customWidth="1"/>
  </cols>
  <sheetData>
    <row r="3" spans="1:6" x14ac:dyDescent="0.3">
      <c r="A3">
        <v>1</v>
      </c>
      <c r="B3" t="s">
        <v>87</v>
      </c>
      <c r="C3" t="s">
        <v>100</v>
      </c>
      <c r="D3" t="s">
        <v>101</v>
      </c>
      <c r="E3" t="s">
        <v>99</v>
      </c>
      <c r="F3" t="s">
        <v>98</v>
      </c>
    </row>
    <row r="4" spans="1:6" x14ac:dyDescent="0.3">
      <c r="A4">
        <v>2</v>
      </c>
      <c r="B4" t="s">
        <v>88</v>
      </c>
      <c r="C4" t="s">
        <v>100</v>
      </c>
    </row>
    <row r="5" spans="1:6" x14ac:dyDescent="0.3">
      <c r="A5">
        <v>3</v>
      </c>
      <c r="B5" t="s">
        <v>90</v>
      </c>
      <c r="C5" t="s">
        <v>100</v>
      </c>
      <c r="D5" t="s">
        <v>101</v>
      </c>
      <c r="E5" t="s">
        <v>99</v>
      </c>
      <c r="F5" t="s">
        <v>98</v>
      </c>
    </row>
    <row r="6" spans="1:6" x14ac:dyDescent="0.3">
      <c r="A6">
        <v>4</v>
      </c>
      <c r="B6" t="s">
        <v>89</v>
      </c>
      <c r="C6" t="s">
        <v>100</v>
      </c>
      <c r="D6" t="s">
        <v>101</v>
      </c>
      <c r="E6" t="s">
        <v>99</v>
      </c>
    </row>
    <row r="7" spans="1:6" x14ac:dyDescent="0.3">
      <c r="A7">
        <v>5</v>
      </c>
      <c r="B7" t="s">
        <v>86</v>
      </c>
      <c r="C7" t="s">
        <v>100</v>
      </c>
      <c r="D7" t="s">
        <v>101</v>
      </c>
      <c r="E7" t="s">
        <v>99</v>
      </c>
      <c r="F7" t="s">
        <v>98</v>
      </c>
    </row>
    <row r="8" spans="1:6" x14ac:dyDescent="0.3">
      <c r="A8">
        <v>6</v>
      </c>
      <c r="B8" t="s">
        <v>91</v>
      </c>
      <c r="C8" t="s">
        <v>100</v>
      </c>
      <c r="D8" t="s">
        <v>101</v>
      </c>
      <c r="E8" t="s">
        <v>99</v>
      </c>
    </row>
    <row r="9" spans="1:6" x14ac:dyDescent="0.3">
      <c r="A9">
        <v>7</v>
      </c>
      <c r="B9" t="s">
        <v>92</v>
      </c>
      <c r="C9" t="s">
        <v>100</v>
      </c>
      <c r="D9" t="s">
        <v>101</v>
      </c>
      <c r="E9" t="s">
        <v>99</v>
      </c>
      <c r="F9" t="s">
        <v>98</v>
      </c>
    </row>
    <row r="10" spans="1:6" x14ac:dyDescent="0.3">
      <c r="A10">
        <v>8</v>
      </c>
      <c r="B10" t="s">
        <v>93</v>
      </c>
      <c r="C10" t="s">
        <v>100</v>
      </c>
      <c r="D10" t="s">
        <v>101</v>
      </c>
      <c r="E10" t="s">
        <v>99</v>
      </c>
      <c r="F10" t="s">
        <v>98</v>
      </c>
    </row>
    <row r="11" spans="1:6" x14ac:dyDescent="0.3">
      <c r="A11">
        <v>9</v>
      </c>
      <c r="B11" t="s">
        <v>94</v>
      </c>
      <c r="C11" t="s">
        <v>100</v>
      </c>
      <c r="D11" t="s">
        <v>101</v>
      </c>
      <c r="E11" t="s">
        <v>99</v>
      </c>
    </row>
    <row r="12" spans="1:6" x14ac:dyDescent="0.3">
      <c r="A12">
        <v>10</v>
      </c>
      <c r="B12" t="s">
        <v>95</v>
      </c>
      <c r="C12" t="s">
        <v>100</v>
      </c>
      <c r="D12" t="s">
        <v>101</v>
      </c>
      <c r="E12" t="s">
        <v>99</v>
      </c>
      <c r="F12" t="s">
        <v>98</v>
      </c>
    </row>
    <row r="13" spans="1:6" x14ac:dyDescent="0.3">
      <c r="A13">
        <v>11</v>
      </c>
      <c r="B13" t="s">
        <v>96</v>
      </c>
      <c r="C13" t="s">
        <v>100</v>
      </c>
      <c r="D13" t="s">
        <v>101</v>
      </c>
      <c r="E13" t="s">
        <v>99</v>
      </c>
    </row>
    <row r="14" spans="1:6" x14ac:dyDescent="0.3">
      <c r="A14">
        <v>12</v>
      </c>
      <c r="B14" t="s">
        <v>97</v>
      </c>
      <c r="C14" t="s">
        <v>100</v>
      </c>
      <c r="D14" t="s">
        <v>101</v>
      </c>
      <c r="E14" t="s">
        <v>99</v>
      </c>
      <c r="F14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부현전기 위험성평가표</vt:lpstr>
      <vt:lpstr>월일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정상익</dc:creator>
  <cp:lastModifiedBy>정상익</cp:lastModifiedBy>
  <cp:lastPrinted>2024-08-07T09:01:45Z</cp:lastPrinted>
  <dcterms:created xsi:type="dcterms:W3CDTF">2024-08-07T07:17:12Z</dcterms:created>
  <dcterms:modified xsi:type="dcterms:W3CDTF">2026-02-18T23:08:36Z</dcterms:modified>
</cp:coreProperties>
</file>