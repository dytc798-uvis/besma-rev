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Boohyun\4. 안전보건관리팀\0 정상익\현장업무지원등 (안전관리자상주 등)\03. 현대카드 본사 안전팀\20230730 현대엔지니어링 안전팀 요청서류\더미\"/>
    </mc:Choice>
  </mc:AlternateContent>
  <xr:revisionPtr revIDLastSave="0" documentId="13_ncr:1_{A19D4548-843E-4315-9FBD-970F9AEDB7CB}" xr6:coauthVersionLast="45" xr6:coauthVersionMax="45" xr10:uidLastSave="{00000000-0000-0000-0000-000000000000}"/>
  <bookViews>
    <workbookView xWindow="28680" yWindow="-120" windowWidth="29040" windowHeight="15840" tabRatio="885" xr2:uid="{00000000-000D-0000-FFFF-FFFF00000000}"/>
  </bookViews>
  <sheets>
    <sheet name="중량물 작업계획서" sheetId="38" r:id="rId1"/>
    <sheet name="양중작업계획서" sheetId="34" state="hidden" r:id="rId2"/>
    <sheet name="지내력검토" sheetId="35" state="hidden" r:id="rId3"/>
    <sheet name="중량물 종류별 세부 내용(해당 중장비)" sheetId="36" r:id="rId4"/>
    <sheet name="작업상황도" sheetId="28" r:id="rId5"/>
    <sheet name="교육점검확인" sheetId="29" state="hidden" r:id="rId6"/>
    <sheet name="사용전 안전점검표(범용)" sheetId="30" r:id="rId7"/>
    <sheet name="작업지휘자" sheetId="31" r:id="rId8"/>
    <sheet name="신호수" sheetId="3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" localSheetId="5">'[1]2.대외공문'!#REF!</definedName>
    <definedName name="_" localSheetId="6">'[1]2.대외공문'!#REF!</definedName>
    <definedName name="_" localSheetId="8">'[1]2.대외공문'!#REF!</definedName>
    <definedName name="_" localSheetId="1">#REF!</definedName>
    <definedName name="_" localSheetId="4">'[1]2.대외공문'!#REF!</definedName>
    <definedName name="_" localSheetId="7">'[1]2.대외공문'!#REF!</definedName>
    <definedName name="_" localSheetId="0">#REF!</definedName>
    <definedName name="_" localSheetId="3">#REF!</definedName>
    <definedName name="_" localSheetId="2">#REF!</definedName>
    <definedName name="_">#REF!</definedName>
    <definedName name="_10bcrclcl10" localSheetId="6">[2]자체실적1Q!#REF!</definedName>
    <definedName name="_10bcrclcl10" localSheetId="8">[2]자체실적1Q!#REF!</definedName>
    <definedName name="_10bcrclcl10" localSheetId="0">[2]자체실적1Q!#REF!</definedName>
    <definedName name="_10bcrclcl10">[2]자체실적1Q!#REF!</definedName>
    <definedName name="_12_0bcrclcl100rtr" localSheetId="8">[2]자체실적1Q!#REF!</definedName>
    <definedName name="_12_0bcrclcl100rtr" localSheetId="0">[2]자체실적1Q!#REF!</definedName>
    <definedName name="_12_0bcrclcl100rtr">[2]자체실적1Q!#REF!</definedName>
    <definedName name="_14_0항" localSheetId="8">'[3]항목(1)'!#REF!</definedName>
    <definedName name="_14_0항" localSheetId="0">'[3]항목(1)'!#REF!</definedName>
    <definedName name="_14_0항">'[3]항목(1)'!#REF!</definedName>
    <definedName name="_16_0항" localSheetId="8">'[3]항목(1)'!#REF!</definedName>
    <definedName name="_16_0항" localSheetId="0">'[3]항목(1)'!#REF!</definedName>
    <definedName name="_16_0항">'[3]항목(1)'!#REF!</definedName>
    <definedName name="_17A20000_" localSheetId="8">#REF!</definedName>
    <definedName name="_17A20000_" localSheetId="7">#REF!</definedName>
    <definedName name="_17A20000_" localSheetId="0">#REF!</definedName>
    <definedName name="_17A20000_">#REF!</definedName>
    <definedName name="_18A25000_" localSheetId="8">#REF!</definedName>
    <definedName name="_18A25000_" localSheetId="7">#REF!</definedName>
    <definedName name="_18A25000_" localSheetId="0">#REF!</definedName>
    <definedName name="_18A25000_">#REF!</definedName>
    <definedName name="_2_" localSheetId="8">'[1]2.대외공문'!#REF!</definedName>
    <definedName name="_2_" localSheetId="0">'[1]2.대외공문'!#REF!</definedName>
    <definedName name="_2_">'[1]2.대외공문'!#REF!</definedName>
    <definedName name="_20bcrclcl100rtr" localSheetId="8">[2]자체실적1Q!#REF!</definedName>
    <definedName name="_20bcrclcl100rtr" localSheetId="0">[2]자체실적1Q!#REF!</definedName>
    <definedName name="_20bcrclcl100rtr">[2]자체실적1Q!#REF!</definedName>
    <definedName name="_22R_" localSheetId="8">'[1]2.대외공문'!#REF!</definedName>
    <definedName name="_22R_" localSheetId="0">'[1]2.대외공문'!#REF!</definedName>
    <definedName name="_22R_">'[1]2.대외공문'!#REF!</definedName>
    <definedName name="_24항" localSheetId="8">'[3]항목(1)'!#REF!</definedName>
    <definedName name="_24항" localSheetId="0">'[3]항목(1)'!#REF!</definedName>
    <definedName name="_24항">'[3]항목(1)'!#REF!</definedName>
    <definedName name="_26항" localSheetId="8">'[3]항목(1)'!#REF!</definedName>
    <definedName name="_26항" localSheetId="0">'[3]항목(1)'!#REF!</definedName>
    <definedName name="_26항">'[3]항목(1)'!#REF!</definedName>
    <definedName name="_4_" localSheetId="8">'[1]2.대외공문'!#REF!</definedName>
    <definedName name="_4_" localSheetId="0">'[1]2.대외공문'!#REF!</definedName>
    <definedName name="_4_">'[1]2.대외공문'!#REF!</definedName>
    <definedName name="_6_" localSheetId="8">'[1]2.대외공문'!#REF!</definedName>
    <definedName name="_6_" localSheetId="0">'[1]2.대외공문'!#REF!</definedName>
    <definedName name="_6_">'[1]2.대외공문'!#REF!</definedName>
    <definedName name="_8_0bcrclcl10" localSheetId="8">[2]자체실적1Q!#REF!</definedName>
    <definedName name="_8_0bcrclcl10" localSheetId="0">[2]자체실적1Q!#REF!</definedName>
    <definedName name="_8_0bcrclcl10">[2]자체실적1Q!#REF!</definedName>
    <definedName name="_xlnm._FilterDatabase" localSheetId="8" hidden="1">#REF!</definedName>
    <definedName name="_xlnm._FilterDatabase" localSheetId="7" hidden="1">#REF!</definedName>
    <definedName name="_xlnm._FilterDatabase" localSheetId="0" hidden="1">#REF!</definedName>
    <definedName name="_xlnm._FilterDatabase" hidden="1">#REF!</definedName>
    <definedName name="_Key1" localSheetId="8" hidden="1">[4]수리결과!#REF!</definedName>
    <definedName name="_Key1" localSheetId="0" hidden="1">[4]수리결과!#REF!</definedName>
    <definedName name="_Key1" hidden="1">[4]수리결과!#REF!</definedName>
    <definedName name="_KEY2" localSheetId="8" hidden="1">[5]수리결과!#REF!</definedName>
    <definedName name="_KEY2" localSheetId="0" hidden="1">[5]수리결과!#REF!</definedName>
    <definedName name="_KEY2" hidden="1">[5]수리결과!#REF!</definedName>
    <definedName name="_Order1" hidden="1">255</definedName>
    <definedName name="_Order2" hidden="1">0</definedName>
    <definedName name="_Q__" localSheetId="8">'[6]95MAKER'!#REF!</definedName>
    <definedName name="_Q__" localSheetId="0">'[6]95MAKER'!#REF!</definedName>
    <definedName name="_Q__">'[6]95MAKER'!#REF!</definedName>
    <definedName name="_Sort" hidden="1">[7]업무분장!$A$1:$IV$4072</definedName>
    <definedName name="\AA" localSheetId="8">#REF!</definedName>
    <definedName name="\AA" localSheetId="7">#REF!</definedName>
    <definedName name="\AA" localSheetId="0">#REF!</definedName>
    <definedName name="\AA">#REF!</definedName>
    <definedName name="\PP" localSheetId="8">#REF!</definedName>
    <definedName name="\PP" localSheetId="7">#REF!</definedName>
    <definedName name="\PP" localSheetId="0">#REF!</definedName>
    <definedName name="\PP">#REF!</definedName>
    <definedName name="\QQ" localSheetId="8">#REF!</definedName>
    <definedName name="\QQ" localSheetId="7">#REF!</definedName>
    <definedName name="\QQ" localSheetId="0">#REF!</definedName>
    <definedName name="\QQ">#REF!</definedName>
    <definedName name="ⅡⅢⅣⅤⅥ_" localSheetId="8">#REF!</definedName>
    <definedName name="ⅡⅢⅣⅤⅥ_" localSheetId="7">#REF!</definedName>
    <definedName name="ⅡⅢⅣⅤⅥ_" localSheetId="0">#REF!</definedName>
    <definedName name="ⅡⅢⅣⅤⅥ_">#REF!</definedName>
    <definedName name="A" localSheetId="6">[8]전문품의!#REF!</definedName>
    <definedName name="A" localSheetId="8">[8]전문품의!#REF!</definedName>
    <definedName name="A" localSheetId="0">[8]전문품의!#REF!</definedName>
    <definedName name="A">[8]전문품의!#REF!</definedName>
    <definedName name="AAA" localSheetId="6">#REF!</definedName>
    <definedName name="AAA" localSheetId="8">#REF!</definedName>
    <definedName name="AAA" localSheetId="7">#REF!</definedName>
    <definedName name="AAA" localSheetId="0">#REF!</definedName>
    <definedName name="AAA">#REF!</definedName>
    <definedName name="AAAA" localSheetId="8">#REF!</definedName>
    <definedName name="AAAA" localSheetId="7">#REF!</definedName>
    <definedName name="AAAA" localSheetId="0">#REF!</definedName>
    <definedName name="AAAA">#REF!</definedName>
    <definedName name="as" localSheetId="8">#REF!</definedName>
    <definedName name="as" localSheetId="7">#REF!</definedName>
    <definedName name="as" localSheetId="0">#REF!</definedName>
    <definedName name="as">#REF!</definedName>
    <definedName name="B">[9]TOT!$H$55</definedName>
    <definedName name="d" localSheetId="6">'[10]2.대외공문'!#REF!</definedName>
    <definedName name="d" localSheetId="8">'[10]2.대외공문'!#REF!</definedName>
    <definedName name="d" localSheetId="0">'[10]2.대외공문'!#REF!</definedName>
    <definedName name="d">'[10]2.대외공문'!#REF!</definedName>
    <definedName name="_xlnm.Database" localSheetId="6">#REF!</definedName>
    <definedName name="_xlnm.Database" localSheetId="8">#REF!</definedName>
    <definedName name="_xlnm.Database" localSheetId="7">#REF!</definedName>
    <definedName name="_xlnm.Database" localSheetId="0">#REF!</definedName>
    <definedName name="_xlnm.Database">#REF!</definedName>
    <definedName name="DH" localSheetId="8">#REF!</definedName>
    <definedName name="DH" localSheetId="7">#REF!</definedName>
    <definedName name="DH" localSheetId="0">#REF!</definedName>
    <definedName name="DH">#REF!</definedName>
    <definedName name="DLFM" localSheetId="8">#REF!</definedName>
    <definedName name="DLFM" localSheetId="7">#REF!</definedName>
    <definedName name="DLFM" localSheetId="0">#REF!</definedName>
    <definedName name="DLFM">#REF!</definedName>
    <definedName name="e" localSheetId="6">'[10]2.대외공문'!#REF!</definedName>
    <definedName name="e" localSheetId="8">'[10]2.대외공문'!#REF!</definedName>
    <definedName name="e" localSheetId="0">'[10]2.대외공문'!#REF!</definedName>
    <definedName name="e">'[10]2.대외공문'!#REF!</definedName>
    <definedName name="f" localSheetId="6">'[10]2.대외공문'!#REF!</definedName>
    <definedName name="f" localSheetId="8">'[10]2.대외공문'!#REF!</definedName>
    <definedName name="f" localSheetId="0">'[10]2.대외공문'!#REF!</definedName>
    <definedName name="f">'[10]2.대외공문'!#REF!</definedName>
    <definedName name="FG10TBTB2RT" localSheetId="6">#REF!</definedName>
    <definedName name="FG10TBTB2RT" localSheetId="8">#REF!</definedName>
    <definedName name="FG10TBTB2RT" localSheetId="7">#REF!</definedName>
    <definedName name="FG10TBTB2RT" localSheetId="0">#REF!</definedName>
    <definedName name="FG10TBTB2RT">#REF!</definedName>
    <definedName name="FG12TBTB2RTDKDKGMLRT" localSheetId="6">[11]협조전!#REF!</definedName>
    <definedName name="FG12TBTB2RTDKDKGMLRT" localSheetId="8">[11]협조전!#REF!</definedName>
    <definedName name="FG12TBTB2RTDKDKGMLRT" localSheetId="0">[11]협조전!#REF!</definedName>
    <definedName name="FG12TBTB2RTDKDKGMLRT">[11]협조전!#REF!</definedName>
    <definedName name="FG46TBTB4RTDKDK" localSheetId="6">#REF!</definedName>
    <definedName name="FG46TBTB4RTDKDK" localSheetId="8">#REF!</definedName>
    <definedName name="FG46TBTB4RTDKDK" localSheetId="7">#REF!</definedName>
    <definedName name="FG46TBTB4RTDKDK" localSheetId="0">#REF!</definedName>
    <definedName name="FG46TBTB4RTDKDK">#REF!</definedName>
    <definedName name="H" localSheetId="6">'[12]#REF'!#REF!</definedName>
    <definedName name="H" localSheetId="8">'[12]#REF'!#REF!</definedName>
    <definedName name="H" localSheetId="0">'[12]#REF'!#REF!</definedName>
    <definedName name="H">'[12]#REF'!#REF!</definedName>
    <definedName name="HHH" localSheetId="6">'[13]96수출'!#REF!</definedName>
    <definedName name="HHH" localSheetId="8">'[13]96수출'!#REF!</definedName>
    <definedName name="HHH" localSheetId="0">'[13]96수출'!#REF!</definedName>
    <definedName name="HHH">'[13]96수출'!#REF!</definedName>
    <definedName name="I" localSheetId="8">'[12]#REF'!#REF!</definedName>
    <definedName name="I" localSheetId="0">'[12]#REF'!#REF!</definedName>
    <definedName name="I">'[12]#REF'!#REF!</definedName>
    <definedName name="II" localSheetId="6">#REF!</definedName>
    <definedName name="II" localSheetId="8">#REF!</definedName>
    <definedName name="II" localSheetId="7">#REF!</definedName>
    <definedName name="II" localSheetId="0">#REF!</definedName>
    <definedName name="II">#REF!</definedName>
    <definedName name="J" localSheetId="6">'[12]#REF'!#REF!</definedName>
    <definedName name="J" localSheetId="8">'[12]#REF'!#REF!</definedName>
    <definedName name="J" localSheetId="0">'[12]#REF'!#REF!</definedName>
    <definedName name="J">'[12]#REF'!#REF!</definedName>
    <definedName name="JJ" localSheetId="6">#REF!</definedName>
    <definedName name="JJ" localSheetId="8">#REF!</definedName>
    <definedName name="JJ" localSheetId="7">#REF!</definedName>
    <definedName name="JJ" localSheetId="0">#REF!</definedName>
    <definedName name="JJ">#REF!</definedName>
    <definedName name="K" localSheetId="6">'[12]#REF'!#REF!</definedName>
    <definedName name="K" localSheetId="8">'[12]#REF'!#REF!</definedName>
    <definedName name="K" localSheetId="0">'[12]#REF'!#REF!</definedName>
    <definedName name="K">'[12]#REF'!#REF!</definedName>
    <definedName name="KK" localSheetId="6">#REF!</definedName>
    <definedName name="KK" localSheetId="8">#REF!</definedName>
    <definedName name="KK" localSheetId="7">#REF!</definedName>
    <definedName name="KK" localSheetId="0">#REF!</definedName>
    <definedName name="KK">#REF!</definedName>
    <definedName name="km" localSheetId="8">#REF!</definedName>
    <definedName name="km" localSheetId="7">#REF!</definedName>
    <definedName name="km" localSheetId="0">#REF!</definedName>
    <definedName name="km">#REF!</definedName>
    <definedName name="L" localSheetId="6">[11]협조전!#REF!</definedName>
    <definedName name="L" localSheetId="8">[11]협조전!#REF!</definedName>
    <definedName name="L" localSheetId="0">[11]협조전!#REF!</definedName>
    <definedName name="L">[11]협조전!#REF!</definedName>
    <definedName name="MB" localSheetId="6">[14]인원01!#REF!</definedName>
    <definedName name="MB" localSheetId="8">[14]인원01!#REF!</definedName>
    <definedName name="MB" localSheetId="0">[14]인원01!#REF!</definedName>
    <definedName name="MB">[14]인원01!#REF!</definedName>
    <definedName name="Mq" localSheetId="8">'[15]소상 "1"'!#REF!</definedName>
    <definedName name="Mq" localSheetId="0">'[15]소상 "1"'!#REF!</definedName>
    <definedName name="Mq">'[15]소상 "1"'!#REF!</definedName>
    <definedName name="M행" localSheetId="6">#REF!</definedName>
    <definedName name="M행" localSheetId="8">#REF!</definedName>
    <definedName name="M행" localSheetId="7">#REF!</definedName>
    <definedName name="M행" localSheetId="0">#REF!</definedName>
    <definedName name="M행">#REF!</definedName>
    <definedName name="N행" localSheetId="8">#REF!</definedName>
    <definedName name="N행" localSheetId="7">#REF!</definedName>
    <definedName name="N행" localSheetId="0">#REF!</definedName>
    <definedName name="N행">#REF!</definedName>
    <definedName name="O행" localSheetId="8">#REF!</definedName>
    <definedName name="O행" localSheetId="7">#REF!</definedName>
    <definedName name="O행" localSheetId="0">#REF!</definedName>
    <definedName name="O행">#REF!</definedName>
    <definedName name="PAGE12" localSheetId="8">[16]세부추진!#REF!</definedName>
    <definedName name="PAGE12" localSheetId="0">[16]세부추진!#REF!</definedName>
    <definedName name="PAGE12">[16]세부추진!#REF!</definedName>
    <definedName name="PAGE13" localSheetId="8">[16]세부추진!#REF!</definedName>
    <definedName name="PAGE13" localSheetId="0">[16]세부추진!#REF!</definedName>
    <definedName name="PAGE13">[16]세부추진!#REF!</definedName>
    <definedName name="PAGE14" localSheetId="8">[16]세부추진!#REF!</definedName>
    <definedName name="PAGE14" localSheetId="0">[16]세부추진!#REF!</definedName>
    <definedName name="PAGE14">[16]세부추진!#REF!</definedName>
    <definedName name="PAGE15" localSheetId="8">[16]세부추진!#REF!</definedName>
    <definedName name="PAGE15" localSheetId="0">[16]세부추진!#REF!</definedName>
    <definedName name="PAGE15">[16]세부추진!#REF!</definedName>
    <definedName name="PAGE16" localSheetId="8">[16]세부추진!#REF!</definedName>
    <definedName name="PAGE16" localSheetId="0">[16]세부추진!#REF!</definedName>
    <definedName name="PAGE16">[16]세부추진!#REF!</definedName>
    <definedName name="PAGE17" localSheetId="8">[16]세부추진!#REF!</definedName>
    <definedName name="PAGE17" localSheetId="0">[16]세부추진!#REF!</definedName>
    <definedName name="PAGE17">[16]세부추진!#REF!</definedName>
    <definedName name="pjt" localSheetId="6">#REF!</definedName>
    <definedName name="pjt" localSheetId="8">#REF!</definedName>
    <definedName name="pjt" localSheetId="7">#REF!</definedName>
    <definedName name="pjt" localSheetId="0">#REF!</definedName>
    <definedName name="pjt">#REF!</definedName>
    <definedName name="plint_titles" localSheetId="8">#REF!</definedName>
    <definedName name="plint_titles" localSheetId="7">#REF!</definedName>
    <definedName name="plint_titles" localSheetId="0">#REF!</definedName>
    <definedName name="plint_titles">#REF!</definedName>
    <definedName name="por1c1r235c17m" localSheetId="8">#REF!</definedName>
    <definedName name="por1c1r235c17m" localSheetId="7">#REF!</definedName>
    <definedName name="por1c1r235c17m" localSheetId="0">#REF!</definedName>
    <definedName name="por1c1r235c17m">#REF!</definedName>
    <definedName name="pp" localSheetId="8">#REF!</definedName>
    <definedName name="pp" localSheetId="7">#REF!</definedName>
    <definedName name="pp" localSheetId="0">#REF!</definedName>
    <definedName name="pp">#REF!</definedName>
    <definedName name="pppppp" localSheetId="8">#REF!</definedName>
    <definedName name="pppppp" localSheetId="7">#REF!</definedName>
    <definedName name="pppppp" localSheetId="0">#REF!</definedName>
    <definedName name="pppppp">#REF!</definedName>
    <definedName name="print" localSheetId="6">[17]시험장S자로가로등공사!#REF!</definedName>
    <definedName name="print" localSheetId="8">[17]시험장S자로가로등공사!#REF!</definedName>
    <definedName name="print" localSheetId="0">[17]시험장S자로가로등공사!#REF!</definedName>
    <definedName name="print">[17]시험장S자로가로등공사!#REF!</definedName>
    <definedName name="_xlnm.Print_Area" localSheetId="5">교육점검확인!$A$1:$AM$42</definedName>
    <definedName name="_xlnm.Print_Area" localSheetId="6">#REF!</definedName>
    <definedName name="_xlnm.Print_Area" localSheetId="8">신호수!$A$1:$H$36</definedName>
    <definedName name="_xlnm.Print_Area" localSheetId="1">양중작업계획서!$A$1:$X$51</definedName>
    <definedName name="_xlnm.Print_Area" localSheetId="4">작업상황도!$A$1:$M$29</definedName>
    <definedName name="_xlnm.Print_Area" localSheetId="7">작업지휘자!$A$1:$H$34</definedName>
    <definedName name="_xlnm.Print_Area" localSheetId="0">'중량물 작업계획서'!$A$1:$K$52</definedName>
    <definedName name="_xlnm.Print_Area" localSheetId="3">'중량물 종류별 세부 내용(해당 중장비)'!$A$1:$F$25</definedName>
    <definedName name="_xlnm.Print_Area" localSheetId="2">지내력검토!$A$1:$X$30</definedName>
    <definedName name="_xlnm.Print_Area">#REF!</definedName>
    <definedName name="PRINT_AREA_MI" localSheetId="6">#REF!</definedName>
    <definedName name="PRINT_AREA_MI" localSheetId="8">#REF!</definedName>
    <definedName name="PRINT_AREA_MI" localSheetId="7">#REF!</definedName>
    <definedName name="PRINT_AREA_MI" localSheetId="0">#REF!</definedName>
    <definedName name="PRINT_AREA_MI">#REF!</definedName>
    <definedName name="PRINT_STYLE" localSheetId="6">[18]대공종!#REF!</definedName>
    <definedName name="PRINT_STYLE" localSheetId="8">[18]대공종!#REF!</definedName>
    <definedName name="PRINT_STYLE" localSheetId="0">[18]대공종!#REF!</definedName>
    <definedName name="PRINT_STYLE">[18]대공종!#REF!</definedName>
    <definedName name="print_styles" localSheetId="6">#REF!</definedName>
    <definedName name="print_styles" localSheetId="8">#REF!</definedName>
    <definedName name="print_styles" localSheetId="7">#REF!</definedName>
    <definedName name="print_styles" localSheetId="0">#REF!</definedName>
    <definedName name="print_styles">#REF!</definedName>
    <definedName name="print_Title" localSheetId="8">#REF!</definedName>
    <definedName name="print_Title" localSheetId="7">#REF!</definedName>
    <definedName name="print_Title" localSheetId="0">#REF!</definedName>
    <definedName name="print_Title">#REF!</definedName>
    <definedName name="PRINT_TNFFJ" localSheetId="8">#REF!</definedName>
    <definedName name="PRINT_TNFFJ" localSheetId="7">#REF!</definedName>
    <definedName name="PRINT_TNFFJ" localSheetId="0">#REF!</definedName>
    <definedName name="PRINT_TNFFJ">#REF!</definedName>
    <definedName name="P행" localSheetId="8">#REF!</definedName>
    <definedName name="P행" localSheetId="7">#REF!</definedName>
    <definedName name="P행" localSheetId="0">#REF!</definedName>
    <definedName name="P행">#REF!</definedName>
    <definedName name="QQQ" localSheetId="6">[8]전문품의!#REF!</definedName>
    <definedName name="QQQ" localSheetId="8">[8]전문품의!#REF!</definedName>
    <definedName name="QQQ" localSheetId="0">[8]전문품의!#REF!</definedName>
    <definedName name="QQQ">[8]전문품의!#REF!</definedName>
    <definedName name="Q행" localSheetId="6">#REF!</definedName>
    <definedName name="Q행" localSheetId="8">#REF!</definedName>
    <definedName name="Q행" localSheetId="7">#REF!</definedName>
    <definedName name="Q행" localSheetId="0">#REF!</definedName>
    <definedName name="Q행">#REF!</definedName>
    <definedName name="RH" localSheetId="8">#REF!</definedName>
    <definedName name="RH" localSheetId="7">#REF!</definedName>
    <definedName name="RH" localSheetId="0">#REF!</definedName>
    <definedName name="RH">#REF!</definedName>
    <definedName name="RKSK" localSheetId="6">'[19]2.대외공문'!#REF!</definedName>
    <definedName name="RKSK" localSheetId="8">'[19]2.대외공문'!#REF!</definedName>
    <definedName name="RKSK" localSheetId="0">'[19]2.대외공문'!#REF!</definedName>
    <definedName name="RKSK">'[19]2.대외공문'!#REF!</definedName>
    <definedName name="RRR" hidden="1">[20]울산시산표!$G$1:$G$1019</definedName>
    <definedName name="R행" localSheetId="6">#REF!</definedName>
    <definedName name="R행" localSheetId="8">#REF!</definedName>
    <definedName name="R행" localSheetId="7">#REF!</definedName>
    <definedName name="R행" localSheetId="0">#REF!</definedName>
    <definedName name="R행">#REF!</definedName>
    <definedName name="S행" localSheetId="8">#REF!</definedName>
    <definedName name="S행" localSheetId="7">#REF!</definedName>
    <definedName name="S행" localSheetId="0">#REF!</definedName>
    <definedName name="S행">#REF!</definedName>
    <definedName name="TEAM">[20]계정!$E$3:$F$102</definedName>
    <definedName name="tlfwjr3" localSheetId="6">#REF!</definedName>
    <definedName name="tlfwjr3" localSheetId="8">#REF!</definedName>
    <definedName name="tlfwjr3" localSheetId="7">#REF!</definedName>
    <definedName name="tlfwjr3" localSheetId="0">#REF!</definedName>
    <definedName name="tlfwjr3">#REF!</definedName>
    <definedName name="T행" localSheetId="8">#REF!</definedName>
    <definedName name="T행" localSheetId="7">#REF!</definedName>
    <definedName name="T행" localSheetId="0">#REF!</definedName>
    <definedName name="T행">#REF!</definedName>
    <definedName name="U행" localSheetId="8">#REF!</definedName>
    <definedName name="U행" localSheetId="7">#REF!</definedName>
    <definedName name="U행" localSheetId="0">#REF!</definedName>
    <definedName name="U행">#REF!</definedName>
    <definedName name="V행" localSheetId="8">#REF!</definedName>
    <definedName name="V행" localSheetId="7">#REF!</definedName>
    <definedName name="V행" localSheetId="0">#REF!</definedName>
    <definedName name="V행">#REF!</definedName>
    <definedName name="W행" localSheetId="6">'[21]2.대외공문'!#REF!</definedName>
    <definedName name="W행" localSheetId="8">'[21]2.대외공문'!#REF!</definedName>
    <definedName name="W행" localSheetId="0">'[21]2.대외공문'!#REF!</definedName>
    <definedName name="W행">'[21]2.대외공문'!#REF!</definedName>
    <definedName name="X행" localSheetId="6">#REF!</definedName>
    <definedName name="X행" localSheetId="8">#REF!</definedName>
    <definedName name="X행" localSheetId="7">#REF!</definedName>
    <definedName name="X행" localSheetId="0">#REF!</definedName>
    <definedName name="X행">#REF!</definedName>
    <definedName name="개정번호" localSheetId="8">#REF!</definedName>
    <definedName name="개정번호" localSheetId="7">#REF!</definedName>
    <definedName name="개정번호" localSheetId="0">#REF!</definedName>
    <definedName name="개정번호">#REF!</definedName>
    <definedName name="개정일자" localSheetId="8">#REF!</definedName>
    <definedName name="개정일자" localSheetId="7">#REF!</definedName>
    <definedName name="개정일자" localSheetId="0">#REF!</definedName>
    <definedName name="개정일자">#REF!</definedName>
    <definedName name="개조" localSheetId="6">'[22]2.대외공문'!#REF!</definedName>
    <definedName name="개조" localSheetId="8">'[22]2.대외공문'!#REF!</definedName>
    <definedName name="개조" localSheetId="0">'[22]2.대외공문'!#REF!</definedName>
    <definedName name="개조">'[22]2.대외공문'!#REF!</definedName>
    <definedName name="겉표지" localSheetId="6">#REF!</definedName>
    <definedName name="겉표지" localSheetId="8">#REF!</definedName>
    <definedName name="겉표지" localSheetId="7">#REF!</definedName>
    <definedName name="겉표지" localSheetId="0">#REF!</definedName>
    <definedName name="겉표지">#REF!</definedName>
    <definedName name="계정">[23]계정!$A$3:$C$119</definedName>
    <definedName name="공구" localSheetId="6">#REF!</definedName>
    <definedName name="공구" localSheetId="8">#REF!</definedName>
    <definedName name="공구" localSheetId="7">#REF!</definedName>
    <definedName name="공구" localSheetId="0">#REF!</definedName>
    <definedName name="공구">#REF!</definedName>
    <definedName name="국내" localSheetId="6">[24]해외!#REF!</definedName>
    <definedName name="국내" localSheetId="8">[24]해외!#REF!</definedName>
    <definedName name="국내" localSheetId="0">[24]해외!#REF!</definedName>
    <definedName name="국내">[24]해외!#REF!</definedName>
    <definedName name="기안갑" localSheetId="6">'[21]2.대외공문'!#REF!</definedName>
    <definedName name="기안갑" localSheetId="8">'[21]2.대외공문'!#REF!</definedName>
    <definedName name="기안갑" localSheetId="0">'[21]2.대외공문'!#REF!</definedName>
    <definedName name="기안갑">'[21]2.대외공문'!#REF!</definedName>
    <definedName name="기안을" localSheetId="8">'[21]2.대외공문'!#REF!</definedName>
    <definedName name="기안을" localSheetId="0">'[21]2.대외공문'!#REF!</definedName>
    <definedName name="기안을">'[21]2.대외공문'!#REF!</definedName>
    <definedName name="내역서" localSheetId="6">#REF!</definedName>
    <definedName name="내역서" localSheetId="8">#REF!</definedName>
    <definedName name="내역서" localSheetId="7">#REF!</definedName>
    <definedName name="내역서" localSheetId="0">#REF!</definedName>
    <definedName name="내역서">#REF!</definedName>
    <definedName name="내용2" localSheetId="8">#REF!</definedName>
    <definedName name="내용2" localSheetId="7">#REF!</definedName>
    <definedName name="내용2" localSheetId="0">#REF!</definedName>
    <definedName name="내용2">#REF!</definedName>
    <definedName name="내용3" localSheetId="8">#REF!</definedName>
    <definedName name="내용3" localSheetId="7">#REF!</definedName>
    <definedName name="내용3" localSheetId="0">#REF!</definedName>
    <definedName name="내용3">#REF!</definedName>
    <definedName name="내용4" localSheetId="8">#REF!</definedName>
    <definedName name="내용4" localSheetId="7">#REF!</definedName>
    <definedName name="내용4" localSheetId="0">#REF!</definedName>
    <definedName name="내용4">#REF!</definedName>
    <definedName name="네환율" localSheetId="8">#REF!</definedName>
    <definedName name="네환율" localSheetId="7">#REF!</definedName>
    <definedName name="네환율" localSheetId="0">#REF!</definedName>
    <definedName name="네환율">#REF!</definedName>
    <definedName name="노환율" localSheetId="8">#REF!</definedName>
    <definedName name="노환율" localSheetId="7">#REF!</definedName>
    <definedName name="노환율" localSheetId="0">#REF!</definedName>
    <definedName name="노환율">#REF!</definedName>
    <definedName name="대환율" localSheetId="8">#REF!</definedName>
    <definedName name="대환율" localSheetId="7">#REF!</definedName>
    <definedName name="대환율" localSheetId="0">#REF!</definedName>
    <definedName name="대환율">#REF!</definedName>
    <definedName name="대회" localSheetId="8">#REF!</definedName>
    <definedName name="대회" localSheetId="7">#REF!</definedName>
    <definedName name="대회" localSheetId="0">#REF!</definedName>
    <definedName name="대회">#REF!</definedName>
    <definedName name="도착선" localSheetId="8">#REF!</definedName>
    <definedName name="도착선" localSheetId="7">#REF!</definedName>
    <definedName name="도착선" localSheetId="0">#REF!</definedName>
    <definedName name="도착선">#REF!</definedName>
    <definedName name="독환율" localSheetId="8">#REF!</definedName>
    <definedName name="독환율" localSheetId="7">#REF!</definedName>
    <definedName name="독환율" localSheetId="0">#REF!</definedName>
    <definedName name="독환율">#REF!</definedName>
    <definedName name="ㄹㄹㄹ" localSheetId="6">'[10]2.대외공문'!#REF!</definedName>
    <definedName name="ㄹㄹㄹ" localSheetId="8">'[10]2.대외공문'!#REF!</definedName>
    <definedName name="ㄹㄹㄹ" localSheetId="0">'[10]2.대외공문'!#REF!</definedName>
    <definedName name="ㄹㄹㄹ">'[10]2.대외공문'!#REF!</definedName>
    <definedName name="ㅁㅁ" localSheetId="6">#REF!</definedName>
    <definedName name="ㅁㅁ" localSheetId="8">#REF!</definedName>
    <definedName name="ㅁㅁ" localSheetId="7">#REF!</definedName>
    <definedName name="ㅁㅁ" localSheetId="0">#REF!</definedName>
    <definedName name="ㅁㅁ">#REF!</definedName>
    <definedName name="ㅁㅁㅁ" localSheetId="6">'[25]#REF'!#REF!</definedName>
    <definedName name="ㅁㅁㅁ" localSheetId="8">'[25]#REF'!#REF!</definedName>
    <definedName name="ㅁㅁㅁ" localSheetId="0">'[25]#REF'!#REF!</definedName>
    <definedName name="ㅁㅁㅁ">'[25]#REF'!#REF!</definedName>
    <definedName name="매출1" localSheetId="8">'[26]95MAKER'!#REF!</definedName>
    <definedName name="매출1" localSheetId="0">'[26]95MAKER'!#REF!</definedName>
    <definedName name="매출1">'[26]95MAKER'!#REF!</definedName>
    <definedName name="매크로4" localSheetId="8">[27]!매크로4</definedName>
    <definedName name="매크로4" localSheetId="0">[27]!매크로4</definedName>
    <definedName name="매크로4">[27]!매크로4</definedName>
    <definedName name="매크로5" localSheetId="8">[27]!매크로5</definedName>
    <definedName name="매크로5" localSheetId="0">[27]!매크로5</definedName>
    <definedName name="매크로5">[27]!매크로5</definedName>
    <definedName name="목차" localSheetId="6">#REF!</definedName>
    <definedName name="목차" localSheetId="8">#REF!</definedName>
    <definedName name="목차" localSheetId="7">#REF!</definedName>
    <definedName name="목차" localSheetId="0">#REF!</definedName>
    <definedName name="목차">#REF!</definedName>
    <definedName name="미" localSheetId="8">#REF!</definedName>
    <definedName name="미" localSheetId="7">#REF!</definedName>
    <definedName name="미" localSheetId="0">#REF!</definedName>
    <definedName name="미">#REF!</definedName>
    <definedName name="미환율" localSheetId="8">#REF!</definedName>
    <definedName name="미환율" localSheetId="7">#REF!</definedName>
    <definedName name="미환율" localSheetId="0">#REF!</definedName>
    <definedName name="미환율">#REF!</definedName>
    <definedName name="밋션별" localSheetId="8">#REF!</definedName>
    <definedName name="밋션별" localSheetId="7">#REF!</definedName>
    <definedName name="밋션별" localSheetId="0">#REF!</definedName>
    <definedName name="밋션별">#REF!</definedName>
    <definedName name="바보" localSheetId="8">#REF!</definedName>
    <definedName name="바보" localSheetId="7">#REF!</definedName>
    <definedName name="바보" localSheetId="0">#REF!</definedName>
    <definedName name="바보">#REF!</definedName>
    <definedName name="박상" localSheetId="8">#REF!</definedName>
    <definedName name="박상" localSheetId="7">#REF!</definedName>
    <definedName name="박상" localSheetId="0">#REF!</definedName>
    <definedName name="박상">#REF!</definedName>
    <definedName name="방청A" localSheetId="6">'[28]95하U$가격'!#REF!</definedName>
    <definedName name="방청A" localSheetId="8">'[28]95하U$가격'!#REF!</definedName>
    <definedName name="방청A" localSheetId="0">'[28]95하U$가격'!#REF!</definedName>
    <definedName name="방청A">'[28]95하U$가격'!#REF!</definedName>
    <definedName name="방청B" localSheetId="6">'[28]95하U$가격'!#REF!</definedName>
    <definedName name="방청B" localSheetId="8">'[28]95하U$가격'!#REF!</definedName>
    <definedName name="방청B" localSheetId="0">'[28]95하U$가격'!#REF!</definedName>
    <definedName name="방청B">'[28]95하U$가격'!#REF!</definedName>
    <definedName name="버스팀" localSheetId="6">#REF!</definedName>
    <definedName name="버스팀" localSheetId="8">#REF!</definedName>
    <definedName name="버스팀" localSheetId="7">#REF!</definedName>
    <definedName name="버스팀" localSheetId="0">#REF!</definedName>
    <definedName name="버스팀">#REF!</definedName>
    <definedName name="벨환율" localSheetId="8">#REF!</definedName>
    <definedName name="벨환율" localSheetId="7">#REF!</definedName>
    <definedName name="벨환율" localSheetId="0">#REF!</definedName>
    <definedName name="벨환율">#REF!</definedName>
    <definedName name="별첨" localSheetId="8">[29]소개!#REF!</definedName>
    <definedName name="별첨" localSheetId="0">[29]소개!#REF!</definedName>
    <definedName name="별첨">[29]소개!#REF!</definedName>
    <definedName name="별첨2A" localSheetId="6">#REF!</definedName>
    <definedName name="별첨2A" localSheetId="8">#REF!</definedName>
    <definedName name="별첨2A" localSheetId="7">#REF!</definedName>
    <definedName name="별첨2A" localSheetId="0">#REF!</definedName>
    <definedName name="별첨2A">#REF!</definedName>
    <definedName name="보증일반환산" localSheetId="6" hidden="1">[30]수리결과!#REF!</definedName>
    <definedName name="보증일반환산" localSheetId="8" hidden="1">[30]수리결과!#REF!</definedName>
    <definedName name="보증일반환산" localSheetId="0" hidden="1">[30]수리결과!#REF!</definedName>
    <definedName name="보증일반환산" hidden="1">[30]수리결과!#REF!</definedName>
    <definedName name="사진">[31]계정!$A$3:$C$119</definedName>
    <definedName name="사진대지">[9]TOT!$H$55</definedName>
    <definedName name="서" localSheetId="6">#REF!</definedName>
    <definedName name="서" localSheetId="8">#REF!</definedName>
    <definedName name="서" localSheetId="7">#REF!</definedName>
    <definedName name="서" localSheetId="0">#REF!</definedName>
    <definedName name="서">#REF!</definedName>
    <definedName name="세금" localSheetId="8">#REF!</definedName>
    <definedName name="세금" localSheetId="7">#REF!</definedName>
    <definedName name="세금" localSheetId="0">#REF!</definedName>
    <definedName name="세금">#REF!</definedName>
    <definedName name="세금2" localSheetId="8">#REF!</definedName>
    <definedName name="세금2" localSheetId="7">#REF!</definedName>
    <definedName name="세금2" localSheetId="0">#REF!</definedName>
    <definedName name="세금2">#REF!</definedName>
    <definedName name="소" localSheetId="8">#REF!</definedName>
    <definedName name="소" localSheetId="7">#REF!</definedName>
    <definedName name="소" localSheetId="0">#REF!</definedName>
    <definedName name="소">#REF!</definedName>
    <definedName name="소요비용" localSheetId="8">[3]BOOK4!#REF!</definedName>
    <definedName name="소요비용" localSheetId="0">[3]BOOK4!#REF!</definedName>
    <definedName name="소요비용">[3]BOOK4!#REF!</definedName>
    <definedName name="스환율" localSheetId="6">#REF!</definedName>
    <definedName name="스환율" localSheetId="8">#REF!</definedName>
    <definedName name="스환율" localSheetId="7">#REF!</definedName>
    <definedName name="스환율" localSheetId="0">#REF!</definedName>
    <definedName name="스환율">#REF!</definedName>
    <definedName name="스환율2" localSheetId="8">#REF!</definedName>
    <definedName name="스환율2" localSheetId="7">#REF!</definedName>
    <definedName name="스환율2" localSheetId="0">#REF!</definedName>
    <definedName name="스환율2">#REF!</definedName>
    <definedName name="시행" localSheetId="6">'[32]2.대외공문'!#REF!</definedName>
    <definedName name="시행" localSheetId="8">'[32]2.대외공문'!#REF!</definedName>
    <definedName name="시행" localSheetId="0">'[32]2.대외공문'!#REF!</definedName>
    <definedName name="시행">'[32]2.대외공문'!#REF!</definedName>
    <definedName name="시행일자" localSheetId="6">#REF!</definedName>
    <definedName name="시행일자" localSheetId="8">#REF!</definedName>
    <definedName name="시행일자" localSheetId="7">#REF!</definedName>
    <definedName name="시행일자" localSheetId="0">#REF!</definedName>
    <definedName name="시행일자">#REF!</definedName>
    <definedName name="신차" localSheetId="6">'[1]2.대외공문'!#REF!</definedName>
    <definedName name="신차" localSheetId="8">'[1]2.대외공문'!#REF!</definedName>
    <definedName name="신차" localSheetId="0">'[1]2.대외공문'!#REF!</definedName>
    <definedName name="신차">'[1]2.대외공문'!#REF!</definedName>
    <definedName name="신차2" localSheetId="6">'[1]2.대외공문'!#REF!</definedName>
    <definedName name="신차2" localSheetId="8">'[1]2.대외공문'!#REF!</definedName>
    <definedName name="신차2" localSheetId="0">'[1]2.대외공문'!#REF!</definedName>
    <definedName name="신차2">'[1]2.대외공문'!#REF!</definedName>
    <definedName name="싱환율" localSheetId="6">#REF!</definedName>
    <definedName name="싱환율" localSheetId="8">#REF!</definedName>
    <definedName name="싱환율" localSheetId="7">#REF!</definedName>
    <definedName name="싱환율" localSheetId="0">#REF!</definedName>
    <definedName name="싱환율">#REF!</definedName>
    <definedName name="싱환율2" localSheetId="8">#REF!</definedName>
    <definedName name="싱환율2" localSheetId="7">#REF!</definedName>
    <definedName name="싱환율2" localSheetId="0">#REF!</definedName>
    <definedName name="싱환율2">#REF!</definedName>
    <definedName name="쌍용기본">'[33]TABLE DB'!$B$5:$G$85</definedName>
    <definedName name="안전" localSheetId="8">[11]협조전!#REF!</definedName>
    <definedName name="안전" localSheetId="0">[11]협조전!#REF!</definedName>
    <definedName name="안전">[11]협조전!#REF!</definedName>
    <definedName name="영환율" localSheetId="6">#REF!</definedName>
    <definedName name="영환율" localSheetId="8">#REF!</definedName>
    <definedName name="영환율" localSheetId="7">#REF!</definedName>
    <definedName name="영환율" localSheetId="0">#REF!</definedName>
    <definedName name="영환율">#REF!</definedName>
    <definedName name="영환율2" localSheetId="8">#REF!</definedName>
    <definedName name="영환율2" localSheetId="7">#REF!</definedName>
    <definedName name="영환율2" localSheetId="0">#REF!</definedName>
    <definedName name="영환율2">#REF!</definedName>
    <definedName name="예비비" localSheetId="8">#REF!</definedName>
    <definedName name="예비비" localSheetId="7">#REF!</definedName>
    <definedName name="예비비" localSheetId="0">#REF!</definedName>
    <definedName name="예비비">#REF!</definedName>
    <definedName name="오" localSheetId="8">#REF!</definedName>
    <definedName name="오" localSheetId="7">#REF!</definedName>
    <definedName name="오" localSheetId="0">#REF!</definedName>
    <definedName name="오">#REF!</definedName>
    <definedName name="오지" localSheetId="8">#REF!</definedName>
    <definedName name="오지" localSheetId="7">#REF!</definedName>
    <definedName name="오지" localSheetId="0">#REF!</definedName>
    <definedName name="오지">#REF!</definedName>
    <definedName name="외" localSheetId="8">#REF!</definedName>
    <definedName name="외" localSheetId="7">#REF!</definedName>
    <definedName name="외" localSheetId="0">#REF!</definedName>
    <definedName name="외">#REF!</definedName>
    <definedName name="으악3" localSheetId="6">[34]전문품의!#REF!</definedName>
    <definedName name="으악3" localSheetId="8">[34]전문품의!#REF!</definedName>
    <definedName name="으악3" localSheetId="0">[34]전문품의!#REF!</definedName>
    <definedName name="으악3">[34]전문품의!#REF!</definedName>
    <definedName name="을지" localSheetId="6">'[35]2.대외공문'!#REF!</definedName>
    <definedName name="을지" localSheetId="8">'[35]2.대외공문'!#REF!</definedName>
    <definedName name="을지" localSheetId="0">'[35]2.대외공문'!#REF!</definedName>
    <definedName name="을지">'[35]2.대외공문'!#REF!</definedName>
    <definedName name="이환율" localSheetId="6">#REF!</definedName>
    <definedName name="이환율" localSheetId="8">#REF!</definedName>
    <definedName name="이환율" localSheetId="7">#REF!</definedName>
    <definedName name="이환율" localSheetId="0">#REF!</definedName>
    <definedName name="이환율">#REF!</definedName>
    <definedName name="인원변동" localSheetId="6">'[36]2.대외공문'!#REF!</definedName>
    <definedName name="인원변동" localSheetId="8">'[36]2.대외공문'!#REF!</definedName>
    <definedName name="인원변동" localSheetId="0">'[36]2.대외공문'!#REF!</definedName>
    <definedName name="인원변동">'[36]2.대외공문'!#REF!</definedName>
    <definedName name="인원차량">[16]세부추진!$A$1:$AE$166</definedName>
    <definedName name="일환율" localSheetId="6">#REF!</definedName>
    <definedName name="일환율" localSheetId="8">#REF!</definedName>
    <definedName name="일환율" localSheetId="7">#REF!</definedName>
    <definedName name="일환율" localSheetId="0">#REF!</definedName>
    <definedName name="일환율">#REF!</definedName>
    <definedName name="자재">[37]입력!$A$3:$A$30</definedName>
    <definedName name="전도" localSheetId="6">[38]총괄표!#REF!,[38]총괄표!#REF!,[38]총괄표!#REF!</definedName>
    <definedName name="전도" localSheetId="8">[38]총괄표!#REF!,[38]총괄표!#REF!,[38]총괄표!#REF!</definedName>
    <definedName name="전도" localSheetId="0">[38]총괄표!#REF!,[38]총괄표!#REF!,[38]총괄표!#REF!</definedName>
    <definedName name="전도">[38]총괄표!#REF!,[38]총괄표!#REF!,[38]총괄표!#REF!</definedName>
    <definedName name="전출자">[39]전입!$A$1:$CE$326</definedName>
    <definedName name="정순화" localSheetId="6">#REF!</definedName>
    <definedName name="정순화" localSheetId="8">#REF!</definedName>
    <definedName name="정순화" localSheetId="7">#REF!</definedName>
    <definedName name="정순화" localSheetId="0">#REF!</definedName>
    <definedName name="정순화">#REF!</definedName>
    <definedName name="제목" localSheetId="8">#REF!</definedName>
    <definedName name="제목" localSheetId="7">#REF!</definedName>
    <definedName name="제목" localSheetId="0">#REF!</definedName>
    <definedName name="제목">#REF!</definedName>
    <definedName name="제안A">[40]제안서!$A$1:$W$47</definedName>
    <definedName name="제안B">[40]제안서!$X$1:$AP$41</definedName>
    <definedName name="좌석" localSheetId="8">[16]상용보강!#REF!</definedName>
    <definedName name="좌석" localSheetId="0">[16]상용보강!#REF!</definedName>
    <definedName name="좌석">[16]상용보강!#REF!</definedName>
    <definedName name="직급사무">'[33]쌍용 data base'!$B$4:$C$9</definedName>
    <definedName name="초임안3" localSheetId="6">#REF!</definedName>
    <definedName name="초임안3" localSheetId="8">#REF!</definedName>
    <definedName name="초임안3" localSheetId="7">#REF!</definedName>
    <definedName name="초임안3" localSheetId="0">#REF!</definedName>
    <definedName name="초임안3">#REF!</definedName>
    <definedName name="최종합격인원" localSheetId="8">#REF!</definedName>
    <definedName name="최종합격인원" localSheetId="7">#REF!</definedName>
    <definedName name="최종합격인원" localSheetId="0">#REF!</definedName>
    <definedName name="최종합격인원">#REF!</definedName>
    <definedName name="최창호" localSheetId="6">'[10]2.대외공문'!#REF!</definedName>
    <definedName name="최창호" localSheetId="8">'[10]2.대외공문'!#REF!</definedName>
    <definedName name="최창호" localSheetId="0">'[10]2.대외공문'!#REF!</definedName>
    <definedName name="최창호">'[10]2.대외공문'!#REF!</definedName>
    <definedName name="출발선" localSheetId="6">#REF!</definedName>
    <definedName name="출발선" localSheetId="8">#REF!</definedName>
    <definedName name="출발선" localSheetId="7">#REF!</definedName>
    <definedName name="출발선" localSheetId="0">#REF!</definedName>
    <definedName name="출발선">#REF!</definedName>
    <definedName name="충동" localSheetId="6">'[6]95MAKER'!#REF!</definedName>
    <definedName name="충동" localSheetId="8">'[6]95MAKER'!#REF!</definedName>
    <definedName name="충동" localSheetId="0">'[6]95MAKER'!#REF!</definedName>
    <definedName name="충동">'[6]95MAKER'!#REF!</definedName>
    <definedName name="카환율" localSheetId="6">#REF!</definedName>
    <definedName name="카환율" localSheetId="8">#REF!</definedName>
    <definedName name="카환율" localSheetId="7">#REF!</definedName>
    <definedName name="카환율" localSheetId="0">#REF!</definedName>
    <definedName name="카환율">#REF!</definedName>
    <definedName name="택시">[41]차량별점검!$A$1:$I$36</definedName>
    <definedName name="트럭1트" localSheetId="6">#REF!</definedName>
    <definedName name="트럭1트" localSheetId="8">#REF!</definedName>
    <definedName name="트럭1트" localSheetId="7">#REF!</definedName>
    <definedName name="트럭1트" localSheetId="0">#REF!</definedName>
    <definedName name="트럭1트">#REF!</definedName>
    <definedName name="트럭실행" localSheetId="8">#REF!</definedName>
    <definedName name="트럭실행" localSheetId="7">#REF!</definedName>
    <definedName name="트럭실행" localSheetId="0">#REF!</definedName>
    <definedName name="트럭실행">#REF!</definedName>
    <definedName name="트럭팀" localSheetId="8">#REF!</definedName>
    <definedName name="트럭팀" localSheetId="7">#REF!</definedName>
    <definedName name="트럭팀" localSheetId="0">#REF!</definedName>
    <definedName name="트럭팀">#REF!</definedName>
    <definedName name="페이지1">'[40]행정표준(1)'!$A$1:$J$53</definedName>
    <definedName name="페이지2">'[40]행정표준(2)'!$A$1:$Z$62</definedName>
    <definedName name="표준명" localSheetId="6">#REF!</definedName>
    <definedName name="표준명" localSheetId="8">#REF!</definedName>
    <definedName name="표준명" localSheetId="7">#REF!</definedName>
    <definedName name="표준명" localSheetId="0">#REF!</definedName>
    <definedName name="표준명">#REF!</definedName>
    <definedName name="표준번호" localSheetId="8">#REF!</definedName>
    <definedName name="표준번호" localSheetId="7">#REF!</definedName>
    <definedName name="표준번호" localSheetId="0">#REF!</definedName>
    <definedName name="표준번호">#REF!</definedName>
    <definedName name="표지" localSheetId="8">#REF!</definedName>
    <definedName name="표지" localSheetId="7">#REF!</definedName>
    <definedName name="표지" localSheetId="0">#REF!</definedName>
    <definedName name="표지">#REF!</definedName>
    <definedName name="프환율" localSheetId="8">#REF!</definedName>
    <definedName name="프환율" localSheetId="7">#REF!</definedName>
    <definedName name="프환율" localSheetId="0">#REF!</definedName>
    <definedName name="프환율">#REF!</definedName>
    <definedName name="하" localSheetId="8">#REF!</definedName>
    <definedName name="하" localSheetId="7">#REF!</definedName>
    <definedName name="하" localSheetId="0">#REF!</definedName>
    <definedName name="하">#REF!</definedName>
    <definedName name="항목10" localSheetId="8">#REF!</definedName>
    <definedName name="항목10" localSheetId="7">#REF!</definedName>
    <definedName name="항목10" localSheetId="0">#REF!</definedName>
    <definedName name="항목10">#REF!</definedName>
    <definedName name="항목11" localSheetId="8">#REF!</definedName>
    <definedName name="항목11" localSheetId="7">#REF!</definedName>
    <definedName name="항목11" localSheetId="0">#REF!</definedName>
    <definedName name="항목11">#REF!</definedName>
    <definedName name="항목2" localSheetId="8">#REF!</definedName>
    <definedName name="항목2" localSheetId="7">#REF!</definedName>
    <definedName name="항목2" localSheetId="0">#REF!</definedName>
    <definedName name="항목2">#REF!</definedName>
    <definedName name="항목3" localSheetId="8">#REF!</definedName>
    <definedName name="항목3" localSheetId="7">#REF!</definedName>
    <definedName name="항목3" localSheetId="0">#REF!</definedName>
    <definedName name="항목3">#REF!</definedName>
    <definedName name="항목4" localSheetId="8">#REF!</definedName>
    <definedName name="항목4" localSheetId="7">#REF!</definedName>
    <definedName name="항목4" localSheetId="0">#REF!</definedName>
    <definedName name="항목4">#REF!</definedName>
    <definedName name="항목5" localSheetId="8">#REF!</definedName>
    <definedName name="항목5" localSheetId="7">#REF!</definedName>
    <definedName name="항목5" localSheetId="0">#REF!</definedName>
    <definedName name="항목5">#REF!</definedName>
    <definedName name="항목6" localSheetId="8">#REF!</definedName>
    <definedName name="항목6" localSheetId="7">#REF!</definedName>
    <definedName name="항목6" localSheetId="0">#REF!</definedName>
    <definedName name="항목6">#REF!</definedName>
    <definedName name="항목7" localSheetId="8">#REF!</definedName>
    <definedName name="항목7" localSheetId="7">#REF!</definedName>
    <definedName name="항목7" localSheetId="0">#REF!</definedName>
    <definedName name="항목7">#REF!</definedName>
    <definedName name="항목8" localSheetId="8">#REF!</definedName>
    <definedName name="항목8" localSheetId="7">#REF!</definedName>
    <definedName name="항목8" localSheetId="0">#REF!</definedName>
    <definedName name="항목8">#REF!</definedName>
    <definedName name="항목9" localSheetId="8">#REF!</definedName>
    <definedName name="항목9" localSheetId="7">#REF!</definedName>
    <definedName name="항목9" localSheetId="0">#REF!</definedName>
    <definedName name="항목9">#REF!</definedName>
    <definedName name="現代綜合商事經由分" localSheetId="8">#REF!</definedName>
    <definedName name="現代綜合商事經由分" localSheetId="7">#REF!</definedName>
    <definedName name="現代綜合商事經由分" localSheetId="0">#REF!</definedName>
    <definedName name="現代綜合商事經由分">#REF!</definedName>
    <definedName name="현장위치" localSheetId="8">#REF!</definedName>
    <definedName name="현장위치" localSheetId="7">#REF!</definedName>
    <definedName name="현장위치" localSheetId="0">#REF!</definedName>
    <definedName name="현장위치">#REF!</definedName>
    <definedName name="호환율" localSheetId="8">#REF!</definedName>
    <definedName name="호환율" localSheetId="7">#REF!</definedName>
    <definedName name="호환율" localSheetId="0">#REF!</definedName>
    <definedName name="호환율">#REF!</definedName>
    <definedName name="회사명" localSheetId="8">#REF!</definedName>
    <definedName name="회사명" localSheetId="7">#REF!</definedName>
    <definedName name="회사명" localSheetId="0">#REF!</definedName>
    <definedName name="회사명">#REF!</definedName>
    <definedName name="ㅏㅏㅏ" localSheetId="6">'[10]2.대외공문'!#REF!</definedName>
    <definedName name="ㅏㅏㅏ" localSheetId="8">'[10]2.대외공문'!#REF!</definedName>
    <definedName name="ㅏㅏㅏ" localSheetId="0">'[10]2.대외공문'!#REF!</definedName>
    <definedName name="ㅏㅏㅏ">'[10]2.대외공문'!#REF!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6" i="38" l="1"/>
  <c r="B27" i="38" s="1"/>
  <c r="I15" i="38" l="1"/>
  <c r="G15" i="38"/>
  <c r="C17" i="38" s="1"/>
  <c r="O9" i="34"/>
  <c r="Q25" i="34"/>
  <c r="P10" i="35" l="1"/>
  <c r="P8" i="35"/>
  <c r="J6" i="35"/>
  <c r="J5" i="35"/>
  <c r="J4" i="35"/>
  <c r="D7" i="35" s="1"/>
  <c r="D8" i="35" s="1"/>
  <c r="I10" i="35" s="1"/>
  <c r="D11" i="35" s="1"/>
  <c r="N26" i="34"/>
  <c r="F26" i="34"/>
  <c r="D26" i="34"/>
  <c r="N27" i="34"/>
  <c r="R9" i="34"/>
  <c r="R4" i="34"/>
  <c r="O4" i="34"/>
  <c r="H6" i="34" l="1"/>
  <c r="D29" i="34"/>
  <c r="N28" i="34"/>
  <c r="Q27" i="34"/>
  <c r="U27" i="34" s="1"/>
  <c r="H11" i="34"/>
  <c r="N29" i="34" s="1"/>
  <c r="Q29" i="34" s="1"/>
  <c r="U29" i="34" s="1"/>
  <c r="Q28" i="34" l="1"/>
  <c r="U28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3" authorId="0" shapeId="0" xr:uid="{EE907C64-A3F1-4672-BD35-D2592458AE14}">
      <text>
        <r>
          <rPr>
            <b/>
            <sz val="14"/>
            <color indexed="81"/>
            <rFont val="돋움"/>
            <family val="3"/>
            <charset val="129"/>
          </rPr>
          <t>해당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회사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제품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규격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확인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기재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요함</t>
        </r>
      </text>
    </comment>
    <comment ref="C16" authorId="0" shapeId="0" xr:uid="{D8B99F7E-DBB0-4B28-BB5C-685AB6CC8538}">
      <text>
        <r>
          <rPr>
            <b/>
            <sz val="14"/>
            <color indexed="81"/>
            <rFont val="돋움"/>
            <family val="3"/>
            <charset val="129"/>
          </rPr>
          <t>해당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회사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규격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및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파단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하중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확인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기입바람</t>
        </r>
      </text>
    </comment>
    <comment ref="G16" authorId="0" shapeId="0" xr:uid="{A5715E4A-9D05-4914-8896-5E2AC7908EEA}">
      <text>
        <r>
          <rPr>
            <b/>
            <sz val="14"/>
            <color indexed="81"/>
            <rFont val="돋움"/>
            <family val="3"/>
            <charset val="129"/>
          </rPr>
          <t>오른쪽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표</t>
        </r>
        <r>
          <rPr>
            <b/>
            <sz val="14"/>
            <color indexed="81"/>
            <rFont val="Tahoma"/>
            <family val="2"/>
          </rPr>
          <t>(</t>
        </r>
        <r>
          <rPr>
            <b/>
            <sz val="14"/>
            <color indexed="81"/>
            <rFont val="돋움"/>
            <family val="3"/>
            <charset val="129"/>
          </rPr>
          <t>안전계수</t>
        </r>
        <r>
          <rPr>
            <b/>
            <sz val="14"/>
            <color indexed="81"/>
            <rFont val="Tahoma"/>
            <family val="2"/>
          </rPr>
          <t xml:space="preserve">) </t>
        </r>
        <r>
          <rPr>
            <b/>
            <sz val="14"/>
            <color indexed="81"/>
            <rFont val="돋움"/>
            <family val="3"/>
            <charset val="129"/>
          </rPr>
          <t>참고</t>
        </r>
      </text>
    </comment>
    <comment ref="I16" authorId="0" shapeId="0" xr:uid="{B7D5BA83-71C6-4321-98D6-B3CAFC83DEB3}">
      <text>
        <r>
          <rPr>
            <b/>
            <sz val="14"/>
            <color indexed="81"/>
            <rFont val="돋움"/>
            <family val="3"/>
            <charset val="129"/>
          </rPr>
          <t>오른쪽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표</t>
        </r>
        <r>
          <rPr>
            <b/>
            <sz val="14"/>
            <color indexed="81"/>
            <rFont val="Tahoma"/>
            <family val="2"/>
          </rPr>
          <t>(3~4</t>
        </r>
        <r>
          <rPr>
            <b/>
            <sz val="14"/>
            <color indexed="81"/>
            <rFont val="돋움"/>
            <family val="3"/>
            <charset val="129"/>
          </rPr>
          <t>줄걸이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장력계수</t>
        </r>
        <r>
          <rPr>
            <b/>
            <sz val="14"/>
            <color indexed="81"/>
            <rFont val="Tahoma"/>
            <family val="2"/>
          </rPr>
          <t xml:space="preserve">) </t>
        </r>
        <r>
          <rPr>
            <b/>
            <sz val="14"/>
            <color indexed="81"/>
            <rFont val="돋움"/>
            <family val="3"/>
            <charset val="129"/>
          </rPr>
          <t>참고</t>
        </r>
      </text>
    </comment>
    <comment ref="B24" authorId="0" shapeId="0" xr:uid="{E125F9FC-C18F-4747-9724-CEA9DBFCD557}">
      <text>
        <r>
          <rPr>
            <b/>
            <sz val="12"/>
            <color indexed="81"/>
            <rFont val="맑은 고딕"/>
            <family val="3"/>
            <charset val="129"/>
            <scheme val="minor"/>
          </rPr>
          <t>최대 인양 무게로 장비 제원표 참조하여 기재</t>
        </r>
      </text>
    </comment>
    <comment ref="B25" authorId="0" shapeId="0" xr:uid="{7D6A070C-F130-48B3-B305-88E5C3C711B8}">
      <text>
        <r>
          <rPr>
            <b/>
            <sz val="14"/>
            <color indexed="81"/>
            <rFont val="돋움"/>
            <family val="3"/>
            <charset val="129"/>
          </rPr>
          <t>가로</t>
        </r>
        <r>
          <rPr>
            <b/>
            <sz val="14"/>
            <color indexed="81"/>
            <rFont val="Tahoma"/>
            <family val="2"/>
          </rPr>
          <t xml:space="preserve"> x </t>
        </r>
        <r>
          <rPr>
            <b/>
            <sz val="14"/>
            <color indexed="81"/>
            <rFont val="돋움"/>
            <family val="3"/>
            <charset val="129"/>
          </rPr>
          <t xml:space="preserve">세로
</t>
        </r>
        <r>
          <rPr>
            <b/>
            <sz val="14"/>
            <color indexed="81"/>
            <rFont val="Tahoma"/>
            <family val="2"/>
          </rPr>
          <t xml:space="preserve">ex) </t>
        </r>
        <r>
          <rPr>
            <b/>
            <sz val="14"/>
            <color indexed="81"/>
            <rFont val="돋움"/>
            <family val="3"/>
            <charset val="129"/>
          </rPr>
          <t>가로</t>
        </r>
        <r>
          <rPr>
            <b/>
            <sz val="14"/>
            <color indexed="81"/>
            <rFont val="Tahoma"/>
            <family val="2"/>
          </rPr>
          <t xml:space="preserve"> 1.5m x </t>
        </r>
        <r>
          <rPr>
            <b/>
            <sz val="14"/>
            <color indexed="81"/>
            <rFont val="돋움"/>
            <family val="3"/>
            <charset val="129"/>
          </rPr>
          <t>세로</t>
        </r>
        <r>
          <rPr>
            <b/>
            <sz val="14"/>
            <color indexed="81"/>
            <rFont val="Tahoma"/>
            <family val="2"/>
          </rPr>
          <t xml:space="preserve"> 1.5m</t>
        </r>
      </text>
    </comment>
    <comment ref="B28" authorId="0" shapeId="0" xr:uid="{4421EB9A-25BB-460E-8225-F6569EC7EE10}">
      <text>
        <r>
          <rPr>
            <b/>
            <sz val="14"/>
            <color indexed="81"/>
            <rFont val="돋움"/>
            <family val="3"/>
            <charset val="129"/>
          </rPr>
          <t>오른쪽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현장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지내력기준</t>
        </r>
        <r>
          <rPr>
            <b/>
            <sz val="14"/>
            <color indexed="81"/>
            <rFont val="돋움"/>
            <family val="3"/>
            <charset val="129"/>
          </rPr>
          <t>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참조</t>
        </r>
      </text>
    </comment>
    <comment ref="G28" authorId="0" shapeId="0" xr:uid="{4866D991-71A3-4BAE-AA48-524EF23948BA}">
      <text>
        <r>
          <rPr>
            <b/>
            <sz val="14"/>
            <color indexed="81"/>
            <rFont val="돋움"/>
            <family val="3"/>
            <charset val="129"/>
          </rPr>
          <t>오른쪽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현장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지내력기준표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참조</t>
        </r>
      </text>
    </comment>
  </commentList>
</comments>
</file>

<file path=xl/sharedStrings.xml><?xml version="1.0" encoding="utf-8"?>
<sst xmlns="http://schemas.openxmlformats.org/spreadsheetml/2006/main" count="603" uniqueCount="424">
  <si>
    <t>작성일자</t>
  </si>
  <si>
    <t>건설기계명</t>
  </si>
  <si>
    <t>성명</t>
  </si>
  <si>
    <t xml:space="preserve">세부 작업방법 </t>
  </si>
  <si>
    <t>중점안전관리사항 (속도제한: 10 km/hr)</t>
  </si>
  <si>
    <t>3. 장비 구획설정 및 유도원 배치하여 차량,인원 통제</t>
  </si>
  <si>
    <t>4. 장비주변 및 상부 회전반경 내 간섭물 확인</t>
    <phoneticPr fontId="4" type="noConversion"/>
  </si>
  <si>
    <t>2. 각종 안전장치 작동 및 기기결함 등 기타 유해물질 누유여부 확인</t>
    <phoneticPr fontId="4" type="noConversion"/>
  </si>
  <si>
    <t>3. 무리한 작업,작동 및 장비제원 초과(85% 이상) 작업금지한다</t>
    <phoneticPr fontId="4" type="noConversion"/>
  </si>
  <si>
    <t>4. 양중물에 2개소 유도용 ROPE를 고정 양중물의 인양을 유도한다</t>
    <phoneticPr fontId="4" type="noConversion"/>
  </si>
  <si>
    <t>1. 지반을 확인하고 아웃트리거는 완전히 장출,핀고정 한다</t>
    <phoneticPr fontId="4" type="noConversion"/>
  </si>
  <si>
    <t>현  장  명</t>
  </si>
  <si>
    <t>협 력 사 명</t>
  </si>
  <si>
    <t>규      격</t>
  </si>
  <si>
    <t>작업지휘자</t>
  </si>
  <si>
    <t>운전원</t>
  </si>
  <si>
    <t>장비등록업체명</t>
  </si>
  <si>
    <t>중량물 취급 작업시 안전대책 (추락, 낙하, 전도, 협착 붕괴)</t>
  </si>
  <si>
    <t>위험요인</t>
  </si>
  <si>
    <t>안전대책</t>
  </si>
  <si>
    <t>1. 중량물 양중시 과상승으로 인한 자재 낙하위험</t>
    <phoneticPr fontId="7" type="noConversion"/>
  </si>
  <si>
    <t>1. 권과방지장치 작동 유무 확인</t>
    <phoneticPr fontId="7" type="noConversion"/>
  </si>
  <si>
    <t>2. 중량물 양중시 아웃트리거 설치구간 지반상태 불량으로 장비전도위험</t>
    <phoneticPr fontId="7" type="noConversion"/>
  </si>
  <si>
    <t>2. 장비 SETING시 아웃트리거 받침목 설치 확인</t>
    <phoneticPr fontId="7" type="noConversion"/>
  </si>
  <si>
    <t>3. 자재 하역시 수평상태 유지 불량</t>
    <phoneticPr fontId="7" type="noConversion"/>
  </si>
  <si>
    <t>3. 양중물 하역 시 안전높이(30CM) 까지 확인</t>
    <phoneticPr fontId="7" type="noConversion"/>
  </si>
  <si>
    <t>4. 장비작업구간 지반상태 불량</t>
    <phoneticPr fontId="7" type="noConversion"/>
  </si>
  <si>
    <t>4. 장비 작업구간 사전 지반상태 확인</t>
    <phoneticPr fontId="7" type="noConversion"/>
  </si>
  <si>
    <t>5. 중량물 상부 결속시 추락위험</t>
    <phoneticPr fontId="7" type="noConversion"/>
  </si>
  <si>
    <t>5. 중량물 슬링벨트 결속시 상부 안전대체결 관리 철저</t>
    <phoneticPr fontId="7" type="noConversion"/>
  </si>
  <si>
    <t>6. 장비양중시 자재사이에 협착위험</t>
    <phoneticPr fontId="7" type="noConversion"/>
  </si>
  <si>
    <t>6. 주변 유도자 배치 및 협착구간 사전확인 철저</t>
    <phoneticPr fontId="7" type="noConversion"/>
  </si>
  <si>
    <t>-</t>
    <phoneticPr fontId="7" type="noConversion"/>
  </si>
  <si>
    <t>보험만료일자</t>
    <phoneticPr fontId="4" type="noConversion"/>
  </si>
  <si>
    <t>차 량 번 호</t>
    <phoneticPr fontId="4" type="noConversion"/>
  </si>
  <si>
    <t>정기검사 만료일자</t>
    <phoneticPr fontId="4" type="noConversion"/>
  </si>
  <si>
    <t>사 용 장 소</t>
    <phoneticPr fontId="4" type="noConversion"/>
  </si>
  <si>
    <t>사 용 기 간</t>
    <phoneticPr fontId="4" type="noConversion"/>
  </si>
  <si>
    <t>연락처</t>
    <phoneticPr fontId="4" type="noConversion"/>
  </si>
  <si>
    <t>차 량 하 중</t>
    <phoneticPr fontId="4" type="noConversion"/>
  </si>
  <si>
    <t>지 반 상 태</t>
    <phoneticPr fontId="4" type="noConversion"/>
  </si>
  <si>
    <t>신 호 수</t>
    <phoneticPr fontId="4" type="noConversion"/>
  </si>
  <si>
    <t>화물의 종류</t>
    <phoneticPr fontId="4" type="noConversion"/>
  </si>
  <si>
    <t>화물의 규격</t>
    <phoneticPr fontId="4" type="noConversion"/>
  </si>
  <si>
    <t>화물의 중량</t>
    <phoneticPr fontId="4" type="noConversion"/>
  </si>
  <si>
    <t>-        -</t>
    <phoneticPr fontId="4" type="noConversion"/>
  </si>
  <si>
    <t>1. 장비셋팅 위치에 유도원이 장비를 유도하여 이동 및 충돌, 협착주위작</t>
    <phoneticPr fontId="4" type="noConversion"/>
  </si>
  <si>
    <t>▣ 작업상황도 (작업장 및 작업조건 상태)</t>
    <phoneticPr fontId="7" type="noConversion"/>
  </si>
  <si>
    <t>▣ 작업계획서 등 특별안전교육 실시 확인</t>
    <phoneticPr fontId="7" type="noConversion"/>
  </si>
  <si>
    <t>교육일시</t>
    <phoneticPr fontId="7" type="noConversion"/>
  </si>
  <si>
    <t>교육장소</t>
    <phoneticPr fontId="7" type="noConversion"/>
  </si>
  <si>
    <t>교육실시자</t>
    <phoneticPr fontId="7" type="noConversion"/>
  </si>
  <si>
    <t xml:space="preserve">(서명)  </t>
    <phoneticPr fontId="7" type="noConversion"/>
  </si>
  <si>
    <t>▣ 교육이수명단</t>
    <phoneticPr fontId="7" type="noConversion"/>
  </si>
  <si>
    <t>NO</t>
    <phoneticPr fontId="7" type="noConversion"/>
  </si>
  <si>
    <t>성 명</t>
    <phoneticPr fontId="7" type="noConversion"/>
  </si>
  <si>
    <t>서 명</t>
    <phoneticPr fontId="7" type="noConversion"/>
  </si>
  <si>
    <t>▣ 작업전/중 점검사항</t>
    <phoneticPr fontId="7" type="noConversion"/>
  </si>
  <si>
    <t>점 검 항 목</t>
    <phoneticPr fontId="7" type="noConversion"/>
  </si>
  <si>
    <r>
      <t xml:space="preserve">협력업체점검
점검자명 :             </t>
    </r>
    <r>
      <rPr>
        <sz val="6"/>
        <color theme="0" tint="-0.249977111117893"/>
        <rFont val="맑은 고딕"/>
        <family val="3"/>
        <charset val="129"/>
        <scheme val="minor"/>
      </rPr>
      <t>sing</t>
    </r>
    <phoneticPr fontId="7" type="noConversion"/>
  </si>
  <si>
    <t>확  인</t>
    <phoneticPr fontId="7" type="noConversion"/>
  </si>
  <si>
    <t>▣ 작업 전</t>
    <phoneticPr fontId="7" type="noConversion"/>
  </si>
  <si>
    <t>1.</t>
    <phoneticPr fontId="7" type="noConversion"/>
  </si>
  <si>
    <t>서류 (장비등록증, 면허증, 보험증, 장비취급 설명서 사본 등) 제출여부</t>
    <phoneticPr fontId="7" type="noConversion"/>
  </si>
  <si>
    <t>2.</t>
  </si>
  <si>
    <t>차량등록증 제원 및 등록번호 일치여부</t>
    <phoneticPr fontId="7" type="noConversion"/>
  </si>
  <si>
    <t>3.</t>
  </si>
  <si>
    <t>작업전 운전원의 장비점검 실시 여부</t>
    <phoneticPr fontId="7" type="noConversion"/>
  </si>
  <si>
    <t>(아우트리거, 과부하방지장치, 권과방지장치, 브레이크 작동상태 등)</t>
    <phoneticPr fontId="7" type="noConversion"/>
  </si>
  <si>
    <t>4.</t>
  </si>
  <si>
    <t>운전원의 붐각도 및 작업반경 숙지여부)</t>
    <phoneticPr fontId="7" type="noConversion"/>
  </si>
  <si>
    <t>5.</t>
  </si>
  <si>
    <t>작업지휘자, 작업원, 운전원 교육 이수여부</t>
    <phoneticPr fontId="7" type="noConversion"/>
  </si>
  <si>
    <t>6.</t>
  </si>
  <si>
    <t>건설기계의 구조, 규격 및 성능등의 기준에 적합한 특별표지판 부착여부</t>
    <phoneticPr fontId="7" type="noConversion"/>
  </si>
  <si>
    <t>7.</t>
  </si>
  <si>
    <t>작업장의 지형, 지반 및 지층상태 등에 대한 사전조사</t>
    <phoneticPr fontId="7" type="noConversion"/>
  </si>
  <si>
    <t>8.</t>
  </si>
  <si>
    <t>장비 위치선정 및 간섭여부</t>
    <phoneticPr fontId="7" type="noConversion"/>
  </si>
  <si>
    <t>▣ 작업 중</t>
    <phoneticPr fontId="7" type="noConversion"/>
  </si>
  <si>
    <t>위험구역 설정 및 안전작업 실시여부</t>
    <phoneticPr fontId="7" type="noConversion"/>
  </si>
  <si>
    <t>지반 부동침하방지, 갓길 붕괴방지, 도로폭 유지등 필요한 전도방지 조치</t>
    <phoneticPr fontId="7" type="noConversion"/>
  </si>
  <si>
    <t>제동등, 방향지시등, 번호등, 미등, 기타 설치된 조명장치 유무 및 작동여부</t>
    <phoneticPr fontId="7" type="noConversion"/>
  </si>
  <si>
    <t xml:space="preserve">선회장치를 가진 건설기계, 장비의 선회체 후면에 작업반경내 접근금지" </t>
    <phoneticPr fontId="7" type="noConversion"/>
  </si>
  <si>
    <t>표시 부착여부</t>
    <phoneticPr fontId="7" type="noConversion"/>
  </si>
  <si>
    <t>신호, 유도자, 작업지휘자 배치 및 출입통제 유무</t>
    <phoneticPr fontId="7" type="noConversion"/>
  </si>
  <si>
    <t>작업위험요인에 대한 안전대책 이행 유무</t>
    <phoneticPr fontId="7" type="noConversion"/>
  </si>
  <si>
    <t>접근금지, 유도, 방호 조치여부</t>
    <phoneticPr fontId="7" type="noConversion"/>
  </si>
  <si>
    <t>작업반경, 최대사용하중 준수여부</t>
    <phoneticPr fontId="7" type="noConversion"/>
  </si>
  <si>
    <t>9.</t>
  </si>
  <si>
    <t>임의 개조 여부</t>
    <phoneticPr fontId="7" type="noConversion"/>
  </si>
  <si>
    <t>장 비 점 검 표</t>
    <phoneticPr fontId="30" type="noConversion"/>
  </si>
  <si>
    <t>결
제</t>
    <phoneticPr fontId="30" type="noConversion"/>
  </si>
  <si>
    <t>안전관리자</t>
    <phoneticPr fontId="30" type="noConversion"/>
  </si>
  <si>
    <t xml:space="preserve"> 현 장 명  :</t>
    <phoneticPr fontId="30" type="noConversion"/>
  </si>
  <si>
    <t xml:space="preserve">장 비 명 </t>
    <phoneticPr fontId="7" type="noConversion"/>
  </si>
  <si>
    <t xml:space="preserve">  </t>
  </si>
  <si>
    <t>모델 및 규격</t>
  </si>
  <si>
    <t xml:space="preserve">사용용도 </t>
  </si>
  <si>
    <t>소유자</t>
    <phoneticPr fontId="30" type="noConversion"/>
  </si>
  <si>
    <t>협력업체</t>
  </si>
  <si>
    <t>임 대 회 사</t>
  </si>
  <si>
    <t>운전원 성명 및 면허번호</t>
  </si>
  <si>
    <t>합성장비 
및 부착물</t>
    <phoneticPr fontId="30" type="noConversion"/>
  </si>
  <si>
    <t>합 성 장 비</t>
  </si>
  <si>
    <t xml:space="preserve">제 작 부 착 물 </t>
  </si>
  <si>
    <t>불법부착물 및 부품</t>
  </si>
  <si>
    <t>장비점검
(육안 및 
기능점검)</t>
    <phoneticPr fontId="30" type="noConversion"/>
  </si>
  <si>
    <t xml:space="preserve">W I R E </t>
  </si>
  <si>
    <t>소선의 10%이상 절단</t>
  </si>
  <si>
    <t>지름의 감소 7%초과 여부</t>
  </si>
  <si>
    <t>꼬 인 것</t>
  </si>
  <si>
    <t>변 형 된 것</t>
  </si>
  <si>
    <t>제 동 장 치</t>
  </si>
  <si>
    <t xml:space="preserve"> □ 이상없음, □ 이상있음(                                                          )</t>
    <phoneticPr fontId="30" type="noConversion"/>
  </si>
  <si>
    <t>조 정 장 치</t>
  </si>
  <si>
    <t>하 역 장 치</t>
  </si>
  <si>
    <t>유 압 장 치</t>
  </si>
  <si>
    <t>차 륜 상 태</t>
  </si>
  <si>
    <t>전 조 등 설 비</t>
  </si>
  <si>
    <t>헤드가아드 설치여부</t>
  </si>
  <si>
    <t>기 타</t>
  </si>
  <si>
    <t>점 검 자</t>
  </si>
  <si>
    <t xml:space="preserve">공구장 </t>
  </si>
  <si>
    <t>안전관리자</t>
  </si>
  <si>
    <t>점검일시</t>
  </si>
  <si>
    <t xml:space="preserve">      20      .          .         .</t>
    <phoneticPr fontId="30" type="noConversion"/>
  </si>
  <si>
    <t>작업지휘자 지정서</t>
    <phoneticPr fontId="6" type="noConversion"/>
  </si>
  <si>
    <t xml:space="preserve">건설기계(등록번호) : </t>
    <phoneticPr fontId="6" type="noConversion"/>
  </si>
  <si>
    <t xml:space="preserve">업 체 명 : </t>
    <phoneticPr fontId="6" type="noConversion"/>
  </si>
  <si>
    <t>00가 0000</t>
    <phoneticPr fontId="6" type="noConversion"/>
  </si>
  <si>
    <t>제39조에 의한 작업지휘자로 지정하는바 작업계획서</t>
    <phoneticPr fontId="6" type="noConversion"/>
  </si>
  <si>
    <t>내용을 숙지하고 작업계획에 따른 작업 및 안전한</t>
    <phoneticPr fontId="6" type="noConversion"/>
  </si>
  <si>
    <t>작업이 되도록 지휘하여 주시기 바랍니다.</t>
    <phoneticPr fontId="6" type="noConversion"/>
  </si>
  <si>
    <t>20     년         월         일</t>
    <phoneticPr fontId="6" type="noConversion"/>
  </si>
  <si>
    <t>위 작업지휘자 확인 :                       (인)</t>
    <phoneticPr fontId="6" type="noConversion"/>
  </si>
  <si>
    <t>0000건설㈜ 현장소장  홍   길   동  (인)</t>
    <phoneticPr fontId="6" type="noConversion"/>
  </si>
  <si>
    <t>1.</t>
    <phoneticPr fontId="6" type="noConversion"/>
  </si>
  <si>
    <t>차량계 하역운반기계등을 사용하는 작업(화물자동차를 사용하는 도로상의 주행 작업은 제외한다)</t>
    <phoneticPr fontId="6" type="noConversion"/>
  </si>
  <si>
    <t>4.</t>
    <phoneticPr fontId="6" type="noConversion"/>
  </si>
  <si>
    <t>5.</t>
    <phoneticPr fontId="6" type="noConversion"/>
  </si>
  <si>
    <t>굴착면의 높이가 2미터 이상이 되는 지반의 굴착작업</t>
    <phoneticPr fontId="6" type="noConversion"/>
  </si>
  <si>
    <t>중량물의 취급작업</t>
    <phoneticPr fontId="6" type="noConversion"/>
  </si>
  <si>
    <t>항타기나 항발기를 조립ㆍ해체ㆍ변경 또는 이동하여 하는 작업</t>
    <phoneticPr fontId="6" type="noConversion"/>
  </si>
  <si>
    <t xml:space="preserve">교량(상부구조가 금속 또는 콘크리트로 구성되는 교량으로서 그 높이가 5미터 이상이거나 </t>
    <phoneticPr fontId="6" type="noConversion"/>
  </si>
  <si>
    <t>교량의 최대 지간 길이가 30미터 이상인 교량으로 한정한다)의 설치ㆍ해체 또는 변경 작업</t>
    <phoneticPr fontId="6" type="noConversion"/>
  </si>
  <si>
    <r>
      <rPr>
        <sz val="11"/>
        <rFont val="맑은 고딕"/>
        <family val="3"/>
        <charset val="129"/>
      </rPr>
      <t xml:space="preserve">■ </t>
    </r>
    <r>
      <rPr>
        <sz val="11"/>
        <rFont val="맑은 고딕"/>
        <family val="3"/>
        <charset val="129"/>
        <scheme val="minor"/>
      </rPr>
      <t>작업지휘자 지정 대상 작업</t>
    </r>
    <phoneticPr fontId="6" type="noConversion"/>
  </si>
  <si>
    <t>0000건설</t>
    <phoneticPr fontId="6" type="noConversion"/>
  </si>
  <si>
    <t>홍 길 동</t>
    <phoneticPr fontId="6" type="noConversion"/>
  </si>
  <si>
    <t xml:space="preserve">성     명 : </t>
    <phoneticPr fontId="6" type="noConversion"/>
  </si>
  <si>
    <t>신호수 지정서</t>
    <phoneticPr fontId="6" type="noConversion"/>
  </si>
  <si>
    <t>귀하를 위 작업에 대하여 산업안전보건 기준에 관한 규칙</t>
    <phoneticPr fontId="6" type="noConversion"/>
  </si>
  <si>
    <t>제40조에 의한 신호수로 지정하는바 신호수 업무의</t>
    <phoneticPr fontId="6" type="noConversion"/>
  </si>
  <si>
    <t>내용을 숙지하고 작업계획에 따른 신호를 통한</t>
    <phoneticPr fontId="6" type="noConversion"/>
  </si>
  <si>
    <t>안전한 작업이 되도록 신호하여 주시기 바랍니다.</t>
    <phoneticPr fontId="6" type="noConversion"/>
  </si>
  <si>
    <t>위 신호수 확인 :                       (인)</t>
    <phoneticPr fontId="6" type="noConversion"/>
  </si>
  <si>
    <t>양중기를 사용하는 작업</t>
    <phoneticPr fontId="6" type="noConversion"/>
  </si>
  <si>
    <t>차량계 하역운반기계등을 사용하여 작업을 하는 경우</t>
    <phoneticPr fontId="6" type="noConversion"/>
  </si>
  <si>
    <t>차량계 건설기계를 사용하여 작업을 하는 경우</t>
    <phoneticPr fontId="6" type="noConversion"/>
  </si>
  <si>
    <t>항타기 또는 항발기의 운전작업</t>
    <phoneticPr fontId="6" type="noConversion"/>
  </si>
  <si>
    <t>중량물을 2명 이상의 근로자가 취급하거나 운반하는 작업</t>
    <phoneticPr fontId="6" type="noConversion"/>
  </si>
  <si>
    <t>양화장치를 사용하는 작업</t>
    <phoneticPr fontId="6" type="noConversion"/>
  </si>
  <si>
    <t>궤도작업차량을 이용하여 작업을 하는 경우</t>
    <phoneticPr fontId="6" type="noConversion"/>
  </si>
  <si>
    <t>입환작업(入換作業)</t>
    <phoneticPr fontId="6" type="noConversion"/>
  </si>
  <si>
    <t>장비등록일자</t>
    <phoneticPr fontId="6" type="noConversion"/>
  </si>
  <si>
    <t>보험만료일자</t>
    <phoneticPr fontId="6" type="noConversion"/>
  </si>
  <si>
    <t>정기검사 만료일자</t>
    <phoneticPr fontId="6" type="noConversion"/>
  </si>
  <si>
    <t>  /</t>
    <phoneticPr fontId="6" type="noConversion"/>
  </si>
  <si>
    <t>홍  길  동   (서명)</t>
    <phoneticPr fontId="6" type="noConversion"/>
  </si>
  <si>
    <t>현장 소장:                                 (인)</t>
    <phoneticPr fontId="4" type="noConversion"/>
  </si>
  <si>
    <t>공사담당 :                                  (인)</t>
    <phoneticPr fontId="4" type="noConversion"/>
  </si>
  <si>
    <t>협력사 소장 :                           (인)</t>
    <phoneticPr fontId="4" type="noConversion"/>
  </si>
  <si>
    <t>1번
줄걸이
검  토</t>
    <phoneticPr fontId="7" type="noConversion"/>
  </si>
  <si>
    <t>종       류</t>
    <phoneticPr fontId="7" type="noConversion"/>
  </si>
  <si>
    <t>□ 와이어로프</t>
    <phoneticPr fontId="7" type="noConversion"/>
  </si>
  <si>
    <t>규      격</t>
    <phoneticPr fontId="7" type="noConversion"/>
  </si>
  <si>
    <t>mm</t>
    <phoneticPr fontId="7" type="noConversion"/>
  </si>
  <si>
    <t>EA</t>
    <phoneticPr fontId="7" type="noConversion"/>
  </si>
  <si>
    <t>ton</t>
    <phoneticPr fontId="7" type="noConversion"/>
  </si>
  <si>
    <t>ton</t>
    <phoneticPr fontId="6" type="noConversion"/>
  </si>
  <si>
    <t>□ 라운드 슬링</t>
    <phoneticPr fontId="7" type="noConversion"/>
  </si>
  <si>
    <t>안전하중
계      산</t>
    <phoneticPr fontId="7" type="noConversion"/>
  </si>
  <si>
    <t>x</t>
    <phoneticPr fontId="7" type="noConversion"/>
  </si>
  <si>
    <t>(파단하중 X 줄걸이수)</t>
    <phoneticPr fontId="7" type="noConversion"/>
  </si>
  <si>
    <t>파단하중(1줄)</t>
    <phoneticPr fontId="7" type="noConversion"/>
  </si>
  <si>
    <t>Ton</t>
    <phoneticPr fontId="7" type="noConversion"/>
  </si>
  <si>
    <t>(6(안전율) X 장력계수)</t>
    <phoneticPr fontId="7" type="noConversion"/>
  </si>
  <si>
    <t xml:space="preserve">안전하중 </t>
    <phoneticPr fontId="7" type="noConversion"/>
  </si>
  <si>
    <t>결       과</t>
    <phoneticPr fontId="7" type="noConversion"/>
  </si>
  <si>
    <t>□ OK       □ NO</t>
    <phoneticPr fontId="7" type="noConversion"/>
  </si>
  <si>
    <t>2번
줄걸이
검  토</t>
    <phoneticPr fontId="7" type="noConversion"/>
  </si>
  <si>
    <t>공도구</t>
    <phoneticPr fontId="7" type="noConversion"/>
  </si>
  <si>
    <t>샤    클</t>
    <phoneticPr fontId="7" type="noConversion"/>
  </si>
  <si>
    <t>규  격</t>
    <phoneticPr fontId="7" type="noConversion"/>
  </si>
  <si>
    <t>사용하중</t>
    <phoneticPr fontId="7" type="noConversion"/>
  </si>
  <si>
    <t>카라비너</t>
    <phoneticPr fontId="6" type="noConversion"/>
  </si>
  <si>
    <t>하카</t>
    <phoneticPr fontId="6" type="noConversion"/>
  </si>
  <si>
    <t>RIGGING PLAN 검토</t>
    <phoneticPr fontId="7" type="noConversion"/>
  </si>
  <si>
    <t>장비 Model</t>
    <phoneticPr fontId="7" type="noConversion"/>
  </si>
  <si>
    <t>작 업 반 경</t>
    <phoneticPr fontId="7" type="noConversion"/>
  </si>
  <si>
    <t>m</t>
    <phoneticPr fontId="7" type="noConversion"/>
  </si>
  <si>
    <t>장비무게</t>
    <phoneticPr fontId="7" type="noConversion"/>
  </si>
  <si>
    <t>양 중 높 이</t>
    <phoneticPr fontId="7" type="noConversion"/>
  </si>
  <si>
    <t>Main boom</t>
    <phoneticPr fontId="7" type="noConversion"/>
  </si>
  <si>
    <t>양중물</t>
    <phoneticPr fontId="7" type="noConversion"/>
  </si>
  <si>
    <t>종 류</t>
    <phoneticPr fontId="7" type="noConversion"/>
  </si>
  <si>
    <t>Ruffing boom</t>
    <phoneticPr fontId="7" type="noConversion"/>
  </si>
  <si>
    <t>°</t>
    <phoneticPr fontId="7" type="noConversion"/>
  </si>
  <si>
    <t>규 격</t>
    <phoneticPr fontId="7" type="noConversion"/>
  </si>
  <si>
    <t>Counter weight</t>
    <phoneticPr fontId="7" type="noConversion"/>
  </si>
  <si>
    <t>중 량</t>
    <phoneticPr fontId="7" type="noConversion"/>
  </si>
  <si>
    <t>Out-Rigger 길이</t>
    <phoneticPr fontId="7" type="noConversion"/>
  </si>
  <si>
    <t>전면</t>
    <phoneticPr fontId="7" type="noConversion"/>
  </si>
  <si>
    <t>후면</t>
    <phoneticPr fontId="7" type="noConversion"/>
  </si>
  <si>
    <t>훅,로프중량</t>
    <phoneticPr fontId="7" type="noConversion"/>
  </si>
  <si>
    <t>최대 양중능력</t>
    <phoneticPr fontId="7" type="noConversion"/>
  </si>
  <si>
    <t>디바이스, 체인 중량</t>
    <phoneticPr fontId="7" type="noConversion"/>
  </si>
  <si>
    <t>정격 총하중</t>
    <phoneticPr fontId="7" type="noConversion"/>
  </si>
  <si>
    <t>최대 양중제원
(Ton)</t>
    <phoneticPr fontId="7" type="noConversion"/>
  </si>
  <si>
    <t xml:space="preserve">  ＞</t>
    <phoneticPr fontId="6" type="noConversion"/>
  </si>
  <si>
    <t>정격 총하중
(Ton)</t>
    <phoneticPr fontId="6" type="noConversion"/>
  </si>
  <si>
    <t>사용율</t>
    <phoneticPr fontId="7" type="noConversion"/>
  </si>
  <si>
    <t>검토 결과</t>
    <phoneticPr fontId="7" type="noConversion"/>
  </si>
  <si>
    <t>최대 양중능력 &gt; 정격 총하중(85% 이내)</t>
    <phoneticPr fontId="6" type="noConversion"/>
  </si>
  <si>
    <t>1번 줄걸이 안전하중</t>
    <phoneticPr fontId="7" type="noConversion"/>
  </si>
  <si>
    <t>검 토
결 과</t>
    <phoneticPr fontId="7" type="noConversion"/>
  </si>
  <si>
    <t>2번 줄걸이 안전하중</t>
    <phoneticPr fontId="7" type="noConversion"/>
  </si>
  <si>
    <t>Rigging Plan - 평면도</t>
    <phoneticPr fontId="7" type="noConversion"/>
  </si>
  <si>
    <t>■ 2줄걸이 장력계수</t>
    <phoneticPr fontId="7" type="noConversion"/>
  </si>
  <si>
    <t>각도</t>
    <phoneticPr fontId="7" type="noConversion"/>
  </si>
  <si>
    <t>계수</t>
    <phoneticPr fontId="7" type="noConversion"/>
  </si>
  <si>
    <t>1.3.5</t>
    <phoneticPr fontId="7" type="noConversion"/>
  </si>
  <si>
    <t>■ 3~4줄걸이 장력계수</t>
    <phoneticPr fontId="7" type="noConversion"/>
  </si>
  <si>
    <t>[ 양중작업,통제구역 :             m    x             m ]</t>
    <phoneticPr fontId="6" type="noConversion"/>
  </si>
  <si>
    <t>양중 각도</t>
    <phoneticPr fontId="7" type="noConversion"/>
  </si>
  <si>
    <t>장력 계수</t>
    <phoneticPr fontId="7" type="noConversion"/>
  </si>
  <si>
    <t>Rigging Plan - 입면도</t>
    <phoneticPr fontId="7" type="noConversion"/>
  </si>
  <si>
    <t>45° 미만</t>
    <phoneticPr fontId="7" type="noConversion"/>
  </si>
  <si>
    <t>45° 이상</t>
    <phoneticPr fontId="7" type="noConversion"/>
  </si>
  <si>
    <t>■ 안전계수</t>
    <phoneticPr fontId="7" type="noConversion"/>
  </si>
  <si>
    <t>용도</t>
    <phoneticPr fontId="7" type="noConversion"/>
  </si>
  <si>
    <t>안전계수</t>
    <phoneticPr fontId="7" type="noConversion"/>
  </si>
  <si>
    <t>비 고</t>
    <phoneticPr fontId="7" type="noConversion"/>
  </si>
  <si>
    <t>탑승용</t>
    <phoneticPr fontId="7" type="noConversion"/>
  </si>
  <si>
    <t>곤돌라</t>
    <phoneticPr fontId="7" type="noConversion"/>
  </si>
  <si>
    <t>줄걸이용</t>
    <phoneticPr fontId="7" type="noConversion"/>
  </si>
  <si>
    <t>자재 양중</t>
    <phoneticPr fontId="7" type="noConversion"/>
  </si>
  <si>
    <t>지지용</t>
    <phoneticPr fontId="7" type="noConversion"/>
  </si>
  <si>
    <t>기둥 지지</t>
    <phoneticPr fontId="7" type="noConversion"/>
  </si>
  <si>
    <t>■ 줄걸이 기준
(와이어 폐기)</t>
    <phoneticPr fontId="6" type="noConversion"/>
  </si>
  <si>
    <t xml:space="preserve"> - 한 꼬임에서 소선파단이 10%이상시 사용금지</t>
    <phoneticPr fontId="6" type="noConversion"/>
  </si>
  <si>
    <t xml:space="preserve"> - 지름의 7%이상 감소시 사용금지</t>
    <phoneticPr fontId="6" type="noConversion"/>
  </si>
  <si>
    <t xml:space="preserve">하이드로 크레인 </t>
    <phoneticPr fontId="7" type="noConversion"/>
  </si>
  <si>
    <r>
      <t xml:space="preserve">크롤러 크레인
</t>
    </r>
    <r>
      <rPr>
        <b/>
        <sz val="9"/>
        <color theme="1"/>
        <rFont val="맑은 고딕"/>
        <family val="3"/>
        <charset val="129"/>
        <scheme val="minor"/>
      </rPr>
      <t>(자동수식 미적용)</t>
    </r>
    <phoneticPr fontId="7" type="noConversion"/>
  </si>
  <si>
    <t>계산식</t>
    <phoneticPr fontId="6" type="noConversion"/>
  </si>
  <si>
    <t>0.85 x (W1+W2) x 1.3 x 0.5 x 1.5/철판면적</t>
    <phoneticPr fontId="7" type="noConversion"/>
  </si>
  <si>
    <t>(W1+W2)/(트랙의 수 x 슈폭 x 접지길이)</t>
    <phoneticPr fontId="7" type="noConversion"/>
  </si>
  <si>
    <t>W1</t>
    <phoneticPr fontId="7" type="noConversion"/>
  </si>
  <si>
    <t>장비중량</t>
    <phoneticPr fontId="7" type="noConversion"/>
  </si>
  <si>
    <t>장비중량(등록증 기준)</t>
  </si>
  <si>
    <t>W2</t>
    <phoneticPr fontId="7" type="noConversion"/>
  </si>
  <si>
    <t>철판면적</t>
    <phoneticPr fontId="7" type="noConversion"/>
  </si>
  <si>
    <t>가로</t>
    <phoneticPr fontId="7" type="noConversion"/>
  </si>
  <si>
    <t>m</t>
    <phoneticPr fontId="6" type="noConversion"/>
  </si>
  <si>
    <t>세로</t>
    <phoneticPr fontId="6" type="noConversion"/>
  </si>
  <si>
    <t>㎡</t>
    <phoneticPr fontId="7" type="noConversion"/>
  </si>
  <si>
    <t>접지길이</t>
    <phoneticPr fontId="7" type="noConversion"/>
  </si>
  <si>
    <t>축간거리+((무한궤도길이-축간거리)x0.35)</t>
    <phoneticPr fontId="7" type="noConversion"/>
  </si>
  <si>
    <t>최대접지압</t>
    <phoneticPr fontId="7" type="noConversion"/>
  </si>
  <si>
    <t>ton/㎡</t>
    <phoneticPr fontId="7" type="noConversion"/>
  </si>
  <si>
    <t>필요지내력</t>
    <phoneticPr fontId="6" type="noConversion"/>
  </si>
  <si>
    <t>현장지내력</t>
    <phoneticPr fontId="7" type="noConversion"/>
  </si>
  <si>
    <t>필요 지내력</t>
    <phoneticPr fontId="6" type="noConversion"/>
  </si>
  <si>
    <t>ton/㎡</t>
    <phoneticPr fontId="6" type="noConversion"/>
  </si>
  <si>
    <t>＜</t>
    <phoneticPr fontId="6" type="noConversion"/>
  </si>
  <si>
    <t xml:space="preserve">  현장 지내력 </t>
    <phoneticPr fontId="6" type="noConversion"/>
  </si>
  <si>
    <t>□ OK      □ NO</t>
    <phoneticPr fontId="7" type="noConversion"/>
  </si>
  <si>
    <t>현장 지내력 기준</t>
    <phoneticPr fontId="7" type="noConversion"/>
  </si>
  <si>
    <t>지반의 종류</t>
    <phoneticPr fontId="7" type="noConversion"/>
  </si>
  <si>
    <t>지반의 허용지내력</t>
    <phoneticPr fontId="7" type="noConversion"/>
  </si>
  <si>
    <t>장기 응력</t>
    <phoneticPr fontId="7" type="noConversion"/>
  </si>
  <si>
    <t>단기 응력</t>
    <phoneticPr fontId="7" type="noConversion"/>
  </si>
  <si>
    <t>경암반(화강암.석록암.폄마암.안산암.화성암</t>
    <phoneticPr fontId="7" type="noConversion"/>
  </si>
  <si>
    <t>4000 KN/㎡</t>
    <phoneticPr fontId="7" type="noConversion"/>
  </si>
  <si>
    <t>408 ton/㎡</t>
    <phoneticPr fontId="7" type="noConversion"/>
  </si>
  <si>
    <t>6000 KN/㎡</t>
    <phoneticPr fontId="7" type="noConversion"/>
  </si>
  <si>
    <t>612 ton/㎡</t>
    <phoneticPr fontId="7" type="noConversion"/>
  </si>
  <si>
    <t>연암반(편암.판암 등의 수성암</t>
    <phoneticPr fontId="7" type="noConversion"/>
  </si>
  <si>
    <t>2000 KN/㎡</t>
    <phoneticPr fontId="7" type="noConversion"/>
  </si>
  <si>
    <t>204 ton/㎡</t>
    <phoneticPr fontId="7" type="noConversion"/>
  </si>
  <si>
    <t>3000 KN/㎡</t>
    <phoneticPr fontId="7" type="noConversion"/>
  </si>
  <si>
    <t>306 ton/㎡</t>
    <phoneticPr fontId="7" type="noConversion"/>
  </si>
  <si>
    <t>연암반(혈암.토단반)</t>
    <phoneticPr fontId="7" type="noConversion"/>
  </si>
  <si>
    <t>1000 KN/㎡</t>
    <phoneticPr fontId="7" type="noConversion"/>
  </si>
  <si>
    <t>102 ton/㎡</t>
    <phoneticPr fontId="7" type="noConversion"/>
  </si>
  <si>
    <t>1500 KN/㎡</t>
    <phoneticPr fontId="7" type="noConversion"/>
  </si>
  <si>
    <t>153 ton/㎡</t>
    <phoneticPr fontId="7" type="noConversion"/>
  </si>
  <si>
    <t>자갈</t>
    <phoneticPr fontId="7" type="noConversion"/>
  </si>
  <si>
    <t>300 KN/㎡</t>
    <phoneticPr fontId="7" type="noConversion"/>
  </si>
  <si>
    <t>30 ton/㎡</t>
    <phoneticPr fontId="7" type="noConversion"/>
  </si>
  <si>
    <t>450 KN/㎡</t>
    <phoneticPr fontId="7" type="noConversion"/>
  </si>
  <si>
    <t>45 ton/㎡</t>
    <phoneticPr fontId="7" type="noConversion"/>
  </si>
  <si>
    <t>자갈과 모래와의 혼합물</t>
    <phoneticPr fontId="7" type="noConversion"/>
  </si>
  <si>
    <t>200 KN/㎡</t>
    <phoneticPr fontId="7" type="noConversion"/>
  </si>
  <si>
    <t>20 ton/㎡</t>
    <phoneticPr fontId="7" type="noConversion"/>
  </si>
  <si>
    <t>모래섞인 점토 또는 롬토</t>
    <phoneticPr fontId="7" type="noConversion"/>
  </si>
  <si>
    <t>150 KN/㎡</t>
    <phoneticPr fontId="7" type="noConversion"/>
  </si>
  <si>
    <t>15 ton/㎡</t>
    <phoneticPr fontId="7" type="noConversion"/>
  </si>
  <si>
    <t>225 KN/㎡</t>
    <phoneticPr fontId="7" type="noConversion"/>
  </si>
  <si>
    <t>22.5 ton/㎡</t>
    <phoneticPr fontId="7" type="noConversion"/>
  </si>
  <si>
    <t>모래 또는 점토</t>
    <phoneticPr fontId="7" type="noConversion"/>
  </si>
  <si>
    <t>100 KN/㎡</t>
    <phoneticPr fontId="7" type="noConversion"/>
  </si>
  <si>
    <t>10 ton/㎡</t>
    <phoneticPr fontId="7" type="noConversion"/>
  </si>
  <si>
    <t>포장재료의 종류</t>
    <phoneticPr fontId="7" type="noConversion"/>
  </si>
  <si>
    <t>압축강도</t>
    <phoneticPr fontId="7" type="noConversion"/>
  </si>
  <si>
    <t>안전율</t>
    <phoneticPr fontId="7" type="noConversion"/>
  </si>
  <si>
    <t>허용압축강도</t>
    <phoneticPr fontId="7" type="noConversion"/>
  </si>
  <si>
    <t>아스팔트</t>
    <phoneticPr fontId="7" type="noConversion"/>
  </si>
  <si>
    <t>2400 KN/㎡</t>
    <phoneticPr fontId="7" type="noConversion"/>
  </si>
  <si>
    <t>244 ton/㎡</t>
    <phoneticPr fontId="7" type="noConversion"/>
  </si>
  <si>
    <t>콘크리트(버림콘크리트 강도 기준)</t>
    <phoneticPr fontId="7" type="noConversion"/>
  </si>
  <si>
    <t>1800 KN/㎡</t>
    <phoneticPr fontId="7" type="noConversion"/>
  </si>
  <si>
    <t>183 ton/㎡</t>
    <phoneticPr fontId="7" type="noConversion"/>
  </si>
  <si>
    <t>61 ton/㎡</t>
    <phoneticPr fontId="7" type="noConversion"/>
  </si>
  <si>
    <t>※ 아스팔트 포장 구역은 포장전에 잡석다짐을 함으로 지반의 단기허용 지내력을 45ton/㎡ 으로 간주.</t>
    <phoneticPr fontId="7" type="noConversion"/>
  </si>
  <si>
    <t>※ 정격총하중 20ton 이상은 접지압 계산 프로그램을 통한 확인 필수!</t>
    <phoneticPr fontId="6" type="noConversion"/>
  </si>
  <si>
    <t>※ 평판재하시험결과를 현장지내력으로 반영 가능 (단, 시험성적서 첨부必)</t>
    <phoneticPr fontId="6" type="noConversion"/>
  </si>
  <si>
    <t>※ 접지압 계산식으로 NG 경우, 시뮬레이션 DATA를 기준으로 삼성전자 환경안전 및 관련부서와 협의하여 진행</t>
    <phoneticPr fontId="6" type="noConversion"/>
  </si>
  <si>
    <t>중 량 물 1</t>
  </si>
  <si>
    <t>중량물 형상 및 줄걸이 방법을 간략하게 그리시오</t>
  </si>
  <si>
    <t>중량물의 종류</t>
  </si>
  <si>
    <t>PIPE</t>
  </si>
  <si>
    <t>중량물의 규격(L*H*W)</t>
  </si>
  <si>
    <t>6000*810*800</t>
  </si>
  <si>
    <t>단위중량(개/ton)</t>
  </si>
  <si>
    <t>1/1300KG=1.3ton</t>
  </si>
  <si>
    <t>최대운반거리</t>
  </si>
  <si>
    <t> 수직 : 1.5M 수평 : 3M</t>
  </si>
  <si>
    <t>총 운반수량</t>
  </si>
  <si>
    <t>8회</t>
  </si>
  <si>
    <t>1회 운반수량</t>
  </si>
  <si>
    <t>8다발</t>
  </si>
  <si>
    <t>1회 운반중량</t>
  </si>
  <si>
    <t>1.3ton</t>
  </si>
  <si>
    <t>줄걸이 방법</t>
  </si>
  <si>
    <t>단말처리 방법(와이어)</t>
  </si>
  <si>
    <t>줄걸이 종류</t>
  </si>
  <si>
    <t>□ 와이어로프  ■ 라운드슬링</t>
    <phoneticPr fontId="4" type="noConversion"/>
  </si>
  <si>
    <t>                        □
                        □</t>
    <phoneticPr fontId="4" type="noConversion"/>
  </si>
  <si>
    <t>줄걸이 수</t>
  </si>
  <si>
    <t> EA</t>
  </si>
  <si>
    <t xml:space="preserve"> □        □        □
</t>
    <phoneticPr fontId="4" type="noConversion"/>
  </si>
  <si>
    <t>중 량 물 2</t>
  </si>
  <si>
    <t>                        □
                        □</t>
    <phoneticPr fontId="4" type="noConversion"/>
  </si>
  <si>
    <t xml:space="preserve"> □        □       □
</t>
    <phoneticPr fontId="4" type="noConversion"/>
  </si>
  <si>
    <t>검 토 결 과</t>
    <phoneticPr fontId="7" type="noConversion"/>
  </si>
  <si>
    <t>2. 신호 방법을 작업 시작전에 확인하고 육안확인 가능한 장소에서 신호한다
   (무전기 사용 정확한 신호 및 예상운전 금지)</t>
    <phoneticPr fontId="4" type="noConversion"/>
  </si>
  <si>
    <t>중량물의 종류</t>
    <phoneticPr fontId="4" type="noConversion"/>
  </si>
  <si>
    <t>중량물의 규격</t>
    <phoneticPr fontId="4" type="noConversion"/>
  </si>
  <si>
    <t>단위중량</t>
    <phoneticPr fontId="4" type="noConversion"/>
  </si>
  <si>
    <t>최대운반거리</t>
    <phoneticPr fontId="4" type="noConversion"/>
  </si>
  <si>
    <t>총 운반 수량</t>
    <phoneticPr fontId="4" type="noConversion"/>
  </si>
  <si>
    <t>1회 운반수량</t>
    <phoneticPr fontId="4" type="noConversion"/>
  </si>
  <si>
    <t>1회 운반중량</t>
    <phoneticPr fontId="4" type="noConversion"/>
  </si>
  <si>
    <t>줄걸이 수</t>
    <phoneticPr fontId="4" type="noConversion"/>
  </si>
  <si>
    <t>줄걸이 종류</t>
    <phoneticPr fontId="4" type="noConversion"/>
  </si>
  <si>
    <t>중 량 물 1</t>
    <phoneticPr fontId="4" type="noConversion"/>
  </si>
  <si>
    <t>중 량 물 2</t>
    <phoneticPr fontId="4" type="noConversion"/>
  </si>
  <si>
    <t>□ 와이어로프    □라운드슬링</t>
    <phoneticPr fontId="4" type="noConversion"/>
  </si>
  <si>
    <t>PIPE</t>
    <phoneticPr fontId="4" type="noConversion"/>
  </si>
  <si>
    <t>(L*H*W)</t>
    <phoneticPr fontId="4" type="noConversion"/>
  </si>
  <si>
    <t>개/TON</t>
    <phoneticPr fontId="4" type="noConversion"/>
  </si>
  <si>
    <t xml:space="preserve">수직 : 0m , 수평 : 0m     </t>
    <phoneticPr fontId="4" type="noConversion"/>
  </si>
  <si>
    <t>8다발</t>
    <phoneticPr fontId="4" type="noConversion"/>
  </si>
  <si>
    <t>8회</t>
    <phoneticPr fontId="4" type="noConversion"/>
  </si>
  <si>
    <t>1.3TON</t>
    <phoneticPr fontId="4" type="noConversion"/>
  </si>
  <si>
    <t>EA</t>
    <phoneticPr fontId="4" type="noConversion"/>
  </si>
  <si>
    <t xml:space="preserve">수직 : 0m , 수평 : 0m   </t>
    <phoneticPr fontId="4" type="noConversion"/>
  </si>
  <si>
    <t>※ 건축물의 구조기준 등에 관한 규칙[(별표8) 지반의 허용 지내력에서 인용]</t>
    <phoneticPr fontId="7" type="noConversion"/>
  </si>
  <si>
    <t>줄걸이 검토</t>
    <phoneticPr fontId="6" type="noConversion"/>
  </si>
  <si>
    <t>종류</t>
    <phoneticPr fontId="6" type="noConversion"/>
  </si>
  <si>
    <t>규 격</t>
    <phoneticPr fontId="6" type="noConversion"/>
  </si>
  <si>
    <t>EA</t>
    <phoneticPr fontId="6" type="noConversion"/>
  </si>
  <si>
    <t>안전하중 계산</t>
    <phoneticPr fontId="6" type="noConversion"/>
  </si>
  <si>
    <t>(파단하중x줄걸이수)</t>
    <phoneticPr fontId="6" type="noConversion"/>
  </si>
  <si>
    <t>(6(안전율)x장력계수)</t>
    <phoneticPr fontId="6" type="noConversion"/>
  </si>
  <si>
    <t>결 과</t>
    <phoneticPr fontId="6" type="noConversion"/>
  </si>
  <si>
    <t>□ OK     □ NO</t>
    <phoneticPr fontId="6" type="noConversion"/>
  </si>
  <si>
    <t>□ 라운드 슬링</t>
    <phoneticPr fontId="6" type="noConversion"/>
  </si>
  <si>
    <t>□ 와이어로프</t>
    <phoneticPr fontId="6" type="noConversion"/>
  </si>
  <si>
    <t>파단하중(TON)</t>
    <phoneticPr fontId="6" type="noConversion"/>
  </si>
  <si>
    <t>안전하중(TON)</t>
    <phoneticPr fontId="6" type="noConversion"/>
  </si>
  <si>
    <t xml:space="preserve">안전담당 :                                 (인)                                        </t>
    <phoneticPr fontId="4" type="noConversion"/>
  </si>
  <si>
    <t>X</t>
    <phoneticPr fontId="6" type="noConversion"/>
  </si>
  <si>
    <t>공도구</t>
    <phoneticPr fontId="6" type="noConversion"/>
  </si>
  <si>
    <t>규격</t>
    <phoneticPr fontId="6" type="noConversion"/>
  </si>
  <si>
    <t>사용하중</t>
    <phoneticPr fontId="6" type="noConversion"/>
  </si>
  <si>
    <t>샤클</t>
    <phoneticPr fontId="6" type="noConversion"/>
  </si>
  <si>
    <t>하이드로 크레인</t>
    <phoneticPr fontId="6" type="noConversion"/>
  </si>
  <si>
    <t>크롤러 크레인</t>
    <phoneticPr fontId="6" type="noConversion"/>
  </si>
  <si>
    <t>계산식</t>
    <phoneticPr fontId="6" type="noConversion"/>
  </si>
  <si>
    <t>ton</t>
    <phoneticPr fontId="6" type="noConversion"/>
  </si>
  <si>
    <t>W1</t>
    <phoneticPr fontId="6" type="noConversion"/>
  </si>
  <si>
    <t>W2</t>
    <phoneticPr fontId="6" type="noConversion"/>
  </si>
  <si>
    <t>철판면적</t>
    <phoneticPr fontId="6" type="noConversion"/>
  </si>
  <si>
    <t>최대접지압</t>
    <phoneticPr fontId="6" type="noConversion"/>
  </si>
  <si>
    <t>필요지내력</t>
    <phoneticPr fontId="6" type="noConversion"/>
  </si>
  <si>
    <t>현장지내력</t>
    <phoneticPr fontId="6" type="noConversion"/>
  </si>
  <si>
    <t>㎡</t>
    <phoneticPr fontId="6" type="noConversion"/>
  </si>
  <si>
    <t>ton/㎡</t>
    <phoneticPr fontId="6" type="noConversion"/>
  </si>
  <si>
    <t>0.85 x (W1+W2) x 1.3 x 0.5 x 1.5/철판면적</t>
    <phoneticPr fontId="6" type="noConversion"/>
  </si>
  <si>
    <t>장비중량</t>
    <phoneticPr fontId="6" type="noConversion"/>
  </si>
  <si>
    <t>정격 총하중</t>
  </si>
  <si>
    <t>정격 총하중</t>
    <phoneticPr fontId="6" type="noConversion"/>
  </si>
  <si>
    <t>가로 1.5m x 세로 1.5m</t>
    <phoneticPr fontId="6" type="noConversion"/>
  </si>
  <si>
    <t>(W1+W2)/(트랙의 수 x 슈폭 x 접지길이)</t>
    <phoneticPr fontId="6" type="noConversion"/>
  </si>
  <si>
    <t>m</t>
    <phoneticPr fontId="6" type="noConversion"/>
  </si>
  <si>
    <t>축간거리+[(무한궤도길이-축간거리)x0.35]</t>
    <phoneticPr fontId="6" type="noConversion"/>
  </si>
  <si>
    <t>장비중량(등록증 기준)</t>
    <phoneticPr fontId="6" type="noConversion"/>
  </si>
  <si>
    <t>mm</t>
    <phoneticPr fontId="6" type="noConversion"/>
  </si>
  <si>
    <t>※ 작업장소 및 운행경로  (*별도 첨부)</t>
    <phoneticPr fontId="6" type="noConversion"/>
  </si>
  <si>
    <t>※ 중량물 종류별 세부내용 (*별도첨부 가능)</t>
    <phoneticPr fontId="6" type="noConversion"/>
  </si>
  <si>
    <t>접지길이
(궤도면적)</t>
    <phoneticPr fontId="6" type="noConversion"/>
  </si>
  <si>
    <t>안전보건
관리책임자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</si>
</sst>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;[Red]0.00"/>
    <numFmt numFmtId="177" formatCode="0.0"/>
    <numFmt numFmtId="178" formatCode="0.0%"/>
    <numFmt numFmtId="179" formatCode="0.000_ "/>
    <numFmt numFmtId="180" formatCode="0.0_ "/>
  </numFmts>
  <fonts count="6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0" tint="-0.249977111117893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6"/>
      <color theme="0" tint="-0.249977111117893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26"/>
      <name val="맑은 고딕"/>
      <family val="3"/>
      <charset val="129"/>
      <scheme val="major"/>
    </font>
    <font>
      <sz val="8"/>
      <name val="돋움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u/>
      <sz val="24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u/>
      <sz val="26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11"/>
      <color theme="0" tint="-0.249977111117893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12"/>
      <color indexed="8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rgb="FFFF0000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/>
      <top style="medium">
        <color rgb="FFFF0000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rgb="FFFF0000"/>
      </top>
      <bottom style="hair">
        <color auto="1"/>
      </bottom>
      <diagonal/>
    </border>
    <border>
      <left style="hair">
        <color auto="1"/>
      </left>
      <right style="medium">
        <color rgb="FFFF0000"/>
      </right>
      <top style="medium">
        <color rgb="FFFF0000"/>
      </top>
      <bottom style="hair">
        <color auto="1"/>
      </bottom>
      <diagonal/>
    </border>
    <border>
      <left style="medium">
        <color rgb="FFFF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rgb="FFFF0000"/>
      </right>
      <top style="hair">
        <color auto="1"/>
      </top>
      <bottom style="hair">
        <color auto="1"/>
      </bottom>
      <diagonal/>
    </border>
    <border>
      <left style="medium">
        <color rgb="FFFF0000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/>
      <top style="hair">
        <color auto="1"/>
      </top>
      <bottom style="medium">
        <color rgb="FFFF0000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rgb="FFFF0000"/>
      </bottom>
      <diagonal/>
    </border>
    <border>
      <left style="hair">
        <color auto="1"/>
      </left>
      <right style="medium">
        <color rgb="FFFF0000"/>
      </right>
      <top style="hair">
        <color auto="1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5" fillId="0" borderId="0"/>
    <xf numFmtId="0" fontId="3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</cellStyleXfs>
  <cellXfs count="58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" fillId="0" borderId="0" xfId="3">
      <alignment vertical="center"/>
    </xf>
    <xf numFmtId="0" fontId="11" fillId="0" borderId="0" xfId="3" applyFont="1">
      <alignment vertical="center"/>
    </xf>
    <xf numFmtId="0" fontId="11" fillId="0" borderId="7" xfId="3" quotePrefix="1" applyFont="1" applyBorder="1">
      <alignment vertical="center"/>
    </xf>
    <xf numFmtId="0" fontId="11" fillId="0" borderId="3" xfId="3" quotePrefix="1" applyFont="1" applyBorder="1">
      <alignment vertical="center"/>
    </xf>
    <xf numFmtId="0" fontId="11" fillId="0" borderId="13" xfId="3" quotePrefix="1" applyFont="1" applyBorder="1">
      <alignment vertical="center"/>
    </xf>
    <xf numFmtId="0" fontId="32" fillId="0" borderId="0" xfId="4" applyFont="1">
      <alignment vertical="center"/>
    </xf>
    <xf numFmtId="0" fontId="17" fillId="2" borderId="16" xfId="4" applyFont="1" applyFill="1" applyBorder="1" applyAlignment="1">
      <alignment horizontal="center" vertical="center" wrapText="1"/>
    </xf>
    <xf numFmtId="0" fontId="17" fillId="0" borderId="16" xfId="4" applyFont="1" applyFill="1" applyBorder="1" applyAlignment="1">
      <alignment horizontal="center" vertical="center" wrapText="1"/>
    </xf>
    <xf numFmtId="0" fontId="33" fillId="0" borderId="0" xfId="3" applyFont="1" applyBorder="1" applyAlignment="1">
      <alignment vertical="center"/>
    </xf>
    <xf numFmtId="0" fontId="16" fillId="0" borderId="0" xfId="3" applyFont="1" applyBorder="1" applyAlignment="1">
      <alignment vertical="center"/>
    </xf>
    <xf numFmtId="0" fontId="11" fillId="0" borderId="0" xfId="3" applyFont="1" applyFill="1" applyBorder="1" applyAlignment="1">
      <alignment vertical="center"/>
    </xf>
    <xf numFmtId="0" fontId="11" fillId="0" borderId="0" xfId="3" applyFont="1" applyAlignment="1">
      <alignment vertical="center"/>
    </xf>
    <xf numFmtId="0" fontId="34" fillId="0" borderId="0" xfId="3" applyFont="1" applyFill="1" applyBorder="1" applyAlignment="1">
      <alignment horizontal="center" vertical="center"/>
    </xf>
    <xf numFmtId="0" fontId="14" fillId="0" borderId="0" xfId="3" applyFont="1" applyFill="1" applyBorder="1" applyAlignment="1">
      <alignment vertical="center"/>
    </xf>
    <xf numFmtId="0" fontId="13" fillId="0" borderId="11" xfId="3" applyFont="1" applyBorder="1" applyAlignment="1">
      <alignment horizontal="center" vertical="center"/>
    </xf>
    <xf numFmtId="0" fontId="14" fillId="0" borderId="0" xfId="3" applyFont="1" applyBorder="1" applyAlignment="1">
      <alignment vertical="center"/>
    </xf>
    <xf numFmtId="0" fontId="11" fillId="0" borderId="0" xfId="3" applyFont="1" applyBorder="1" applyAlignment="1">
      <alignment vertical="center"/>
    </xf>
    <xf numFmtId="0" fontId="16" fillId="0" borderId="11" xfId="3" applyFont="1" applyBorder="1" applyAlignment="1">
      <alignment vertical="center"/>
    </xf>
    <xf numFmtId="0" fontId="16" fillId="0" borderId="10" xfId="3" applyFont="1" applyBorder="1" applyAlignment="1">
      <alignment vertical="center"/>
    </xf>
    <xf numFmtId="0" fontId="33" fillId="0" borderId="11" xfId="3" applyFont="1" applyBorder="1" applyAlignment="1">
      <alignment vertical="center"/>
    </xf>
    <xf numFmtId="0" fontId="33" fillId="0" borderId="11" xfId="3" quotePrefix="1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/>
    </xf>
    <xf numFmtId="0" fontId="33" fillId="0" borderId="10" xfId="3" applyFont="1" applyBorder="1" applyAlignment="1">
      <alignment vertical="center"/>
    </xf>
    <xf numFmtId="0" fontId="11" fillId="0" borderId="11" xfId="3" applyFont="1" applyBorder="1" applyAlignment="1">
      <alignment vertical="center"/>
    </xf>
    <xf numFmtId="0" fontId="11" fillId="0" borderId="10" xfId="3" applyFont="1" applyBorder="1" applyAlignment="1">
      <alignment vertical="center"/>
    </xf>
    <xf numFmtId="0" fontId="35" fillId="0" borderId="0" xfId="3" applyFont="1" applyBorder="1" applyAlignment="1">
      <alignment vertical="center"/>
    </xf>
    <xf numFmtId="0" fontId="11" fillId="0" borderId="0" xfId="3" applyFont="1" applyBorder="1" applyAlignment="1">
      <alignment horizontal="center" vertical="center"/>
    </xf>
    <xf numFmtId="0" fontId="32" fillId="0" borderId="0" xfId="3" applyFont="1" applyBorder="1" applyAlignment="1">
      <alignment vertical="center"/>
    </xf>
    <xf numFmtId="0" fontId="32" fillId="0" borderId="10" xfId="3" applyFont="1" applyBorder="1" applyAlignment="1">
      <alignment vertical="center"/>
    </xf>
    <xf numFmtId="0" fontId="36" fillId="0" borderId="0" xfId="3" applyFont="1" applyBorder="1" applyAlignment="1">
      <alignment vertical="center"/>
    </xf>
    <xf numFmtId="0" fontId="11" fillId="0" borderId="13" xfId="3" applyFont="1" applyBorder="1" applyAlignment="1">
      <alignment vertical="center"/>
    </xf>
    <xf numFmtId="0" fontId="11" fillId="0" borderId="12" xfId="3" applyFont="1" applyBorder="1" applyAlignment="1">
      <alignment vertical="center"/>
    </xf>
    <xf numFmtId="0" fontId="11" fillId="0" borderId="14" xfId="3" applyFont="1" applyBorder="1" applyAlignment="1">
      <alignment vertical="center"/>
    </xf>
    <xf numFmtId="0" fontId="21" fillId="0" borderId="0" xfId="3" applyFont="1" applyBorder="1" applyAlignment="1">
      <alignment horizontal="center" vertical="center"/>
    </xf>
    <xf numFmtId="0" fontId="21" fillId="0" borderId="12" xfId="3" applyFont="1" applyBorder="1" applyAlignment="1">
      <alignment horizontal="center" vertical="center"/>
    </xf>
    <xf numFmtId="0" fontId="22" fillId="0" borderId="0" xfId="3" quotePrefix="1" applyFont="1" applyBorder="1" applyAlignment="1">
      <alignment horizontal="center" vertical="center"/>
    </xf>
    <xf numFmtId="0" fontId="37" fillId="0" borderId="0" xfId="3" applyFont="1" applyBorder="1" applyAlignment="1">
      <alignment vertical="center"/>
    </xf>
    <xf numFmtId="0" fontId="9" fillId="0" borderId="0" xfId="3" applyFont="1" applyBorder="1" applyAlignment="1">
      <alignment vertical="center"/>
    </xf>
    <xf numFmtId="0" fontId="37" fillId="0" borderId="0" xfId="3" applyFont="1" applyBorder="1" applyAlignment="1">
      <alignment horizontal="center" vertical="center"/>
    </xf>
    <xf numFmtId="0" fontId="15" fillId="0" borderId="3" xfId="3" applyFont="1" applyFill="1" applyBorder="1" applyAlignment="1">
      <alignment vertical="center"/>
    </xf>
    <xf numFmtId="0" fontId="15" fillId="0" borderId="6" xfId="3" applyFont="1" applyFill="1" applyBorder="1" applyAlignment="1">
      <alignment vertical="center"/>
    </xf>
    <xf numFmtId="0" fontId="15" fillId="0" borderId="5" xfId="3" applyFont="1" applyFill="1" applyBorder="1" applyAlignment="1">
      <alignment vertical="center"/>
    </xf>
    <xf numFmtId="0" fontId="34" fillId="0" borderId="11" xfId="3" applyFont="1" applyFill="1" applyBorder="1" applyAlignment="1">
      <alignment horizontal="center" vertical="center"/>
    </xf>
    <xf numFmtId="0" fontId="11" fillId="0" borderId="10" xfId="3" applyFont="1" applyFill="1" applyBorder="1" applyAlignment="1">
      <alignment vertical="center"/>
    </xf>
    <xf numFmtId="0" fontId="35" fillId="0" borderId="10" xfId="3" applyFont="1" applyFill="1" applyBorder="1" applyAlignment="1">
      <alignment horizontal="center" vertical="center"/>
    </xf>
    <xf numFmtId="0" fontId="33" fillId="0" borderId="12" xfId="3" applyFont="1" applyBorder="1" applyAlignment="1">
      <alignment vertical="center"/>
    </xf>
    <xf numFmtId="0" fontId="14" fillId="0" borderId="12" xfId="3" applyFont="1" applyBorder="1" applyAlignment="1">
      <alignment vertical="center"/>
    </xf>
    <xf numFmtId="0" fontId="11" fillId="0" borderId="12" xfId="3" applyFont="1" applyBorder="1" applyAlignment="1">
      <alignment horizontal="right" vertical="center"/>
    </xf>
    <xf numFmtId="0" fontId="11" fillId="0" borderId="3" xfId="3" applyFont="1" applyBorder="1" applyAlignment="1">
      <alignment vertical="center"/>
    </xf>
    <xf numFmtId="0" fontId="35" fillId="0" borderId="6" xfId="3" applyFont="1" applyBorder="1" applyAlignment="1">
      <alignment vertical="center"/>
    </xf>
    <xf numFmtId="0" fontId="11" fillId="0" borderId="6" xfId="3" applyFont="1" applyBorder="1" applyAlignment="1">
      <alignment vertical="center"/>
    </xf>
    <xf numFmtId="0" fontId="11" fillId="0" borderId="6" xfId="3" applyFont="1" applyBorder="1" applyAlignment="1">
      <alignment horizontal="center" vertical="center"/>
    </xf>
    <xf numFmtId="0" fontId="11" fillId="0" borderId="5" xfId="3" applyFont="1" applyBorder="1" applyAlignment="1">
      <alignment vertical="center"/>
    </xf>
    <xf numFmtId="0" fontId="32" fillId="0" borderId="6" xfId="3" applyFont="1" applyBorder="1" applyAlignment="1">
      <alignment vertical="center"/>
    </xf>
    <xf numFmtId="0" fontId="39" fillId="0" borderId="0" xfId="3" applyFont="1" applyBorder="1" applyAlignment="1">
      <alignment vertical="center"/>
    </xf>
    <xf numFmtId="0" fontId="22" fillId="2" borderId="1" xfId="0" applyFont="1" applyFill="1" applyBorder="1" applyAlignment="1">
      <alignment horizontal="center" vertical="center" wrapText="1"/>
    </xf>
    <xf numFmtId="0" fontId="46" fillId="0" borderId="0" xfId="0" applyFont="1">
      <alignment vertical="center"/>
    </xf>
    <xf numFmtId="0" fontId="48" fillId="0" borderId="30" xfId="0" applyFont="1" applyBorder="1">
      <alignment vertical="center"/>
    </xf>
    <xf numFmtId="0" fontId="47" fillId="0" borderId="29" xfId="0" applyFont="1" applyBorder="1" applyAlignment="1">
      <alignment horizontal="center" wrapText="1"/>
    </xf>
    <xf numFmtId="0" fontId="47" fillId="0" borderId="30" xfId="0" applyFont="1" applyFill="1" applyBorder="1" applyAlignment="1">
      <alignment horizontal="center" vertical="center"/>
    </xf>
    <xf numFmtId="0" fontId="47" fillId="0" borderId="29" xfId="0" applyFont="1" applyBorder="1" applyAlignment="1">
      <alignment horizontal="center" vertical="top" wrapText="1"/>
    </xf>
    <xf numFmtId="0" fontId="47" fillId="0" borderId="30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>
      <alignment vertical="center"/>
    </xf>
    <xf numFmtId="0" fontId="47" fillId="0" borderId="28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47" fillId="0" borderId="37" xfId="0" applyFont="1" applyFill="1" applyBorder="1">
      <alignment vertical="center"/>
    </xf>
    <xf numFmtId="0" fontId="47" fillId="0" borderId="29" xfId="0" applyFont="1" applyFill="1" applyBorder="1" applyAlignment="1">
      <alignment horizontal="right" vertical="center"/>
    </xf>
    <xf numFmtId="0" fontId="47" fillId="0" borderId="29" xfId="0" applyFont="1" applyFill="1" applyBorder="1" applyAlignment="1">
      <alignment horizontal="left" vertical="center"/>
    </xf>
    <xf numFmtId="0" fontId="47" fillId="0" borderId="29" xfId="0" applyFont="1" applyFill="1" applyBorder="1">
      <alignment vertical="center"/>
    </xf>
    <xf numFmtId="0" fontId="47" fillId="0" borderId="28" xfId="0" applyFont="1" applyFill="1" applyBorder="1">
      <alignment vertical="center"/>
    </xf>
    <xf numFmtId="0" fontId="47" fillId="0" borderId="31" xfId="0" applyFont="1" applyFill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7" fillId="0" borderId="30" xfId="0" applyFont="1" applyBorder="1">
      <alignment vertical="center"/>
    </xf>
    <xf numFmtId="0" fontId="9" fillId="0" borderId="0" xfId="0" applyFont="1">
      <alignment vertical="center"/>
    </xf>
    <xf numFmtId="0" fontId="9" fillId="0" borderId="0" xfId="0" applyFont="1" applyBorder="1">
      <alignment vertical="center"/>
    </xf>
    <xf numFmtId="0" fontId="47" fillId="0" borderId="46" xfId="0" applyFont="1" applyBorder="1" applyAlignment="1">
      <alignment vertical="center"/>
    </xf>
    <xf numFmtId="0" fontId="47" fillId="0" borderId="29" xfId="0" applyFont="1" applyBorder="1" applyAlignment="1">
      <alignment vertical="center"/>
    </xf>
    <xf numFmtId="0" fontId="47" fillId="0" borderId="47" xfId="0" applyFont="1" applyBorder="1" applyAlignment="1">
      <alignment horizontal="center" vertical="center"/>
    </xf>
    <xf numFmtId="0" fontId="47" fillId="0" borderId="30" xfId="0" applyFont="1" applyBorder="1" applyAlignment="1">
      <alignment horizontal="left" vertical="center"/>
    </xf>
    <xf numFmtId="0" fontId="47" fillId="0" borderId="46" xfId="0" applyFont="1" applyBorder="1" applyAlignment="1">
      <alignment horizontal="left" vertical="center"/>
    </xf>
    <xf numFmtId="0" fontId="47" fillId="0" borderId="28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0" fontId="47" fillId="2" borderId="30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Fill="1" applyBorder="1" applyAlignment="1">
      <alignment horizontal="center" vertical="center" wrapText="1"/>
    </xf>
    <xf numFmtId="0" fontId="47" fillId="0" borderId="48" xfId="0" applyFont="1" applyBorder="1">
      <alignment vertical="center"/>
    </xf>
    <xf numFmtId="0" fontId="47" fillId="0" borderId="56" xfId="0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/>
    </xf>
    <xf numFmtId="0" fontId="47" fillId="0" borderId="58" xfId="0" applyFont="1" applyBorder="1" applyAlignment="1">
      <alignment horizontal="center" vertical="center"/>
    </xf>
    <xf numFmtId="0" fontId="47" fillId="0" borderId="46" xfId="0" applyFont="1" applyBorder="1" applyAlignment="1">
      <alignment horizontal="center" vertical="center"/>
    </xf>
    <xf numFmtId="0" fontId="47" fillId="0" borderId="57" xfId="0" applyFont="1" applyBorder="1" applyAlignment="1">
      <alignment horizontal="center" vertical="center"/>
    </xf>
    <xf numFmtId="0" fontId="47" fillId="0" borderId="53" xfId="0" applyFont="1" applyFill="1" applyBorder="1" applyAlignment="1">
      <alignment horizontal="center" vertical="center"/>
    </xf>
    <xf numFmtId="0" fontId="47" fillId="0" borderId="46" xfId="0" applyFont="1" applyFill="1" applyBorder="1" applyAlignment="1">
      <alignment horizontal="center" vertical="center"/>
    </xf>
    <xf numFmtId="0" fontId="47" fillId="0" borderId="36" xfId="0" applyFont="1" applyFill="1" applyBorder="1" applyAlignment="1">
      <alignment horizontal="center" vertical="center"/>
    </xf>
    <xf numFmtId="0" fontId="47" fillId="0" borderId="56" xfId="0" applyFont="1" applyBorder="1">
      <alignment vertical="center"/>
    </xf>
    <xf numFmtId="0" fontId="9" fillId="0" borderId="11" xfId="0" applyFont="1" applyBorder="1">
      <alignment vertical="center"/>
    </xf>
    <xf numFmtId="0" fontId="9" fillId="0" borderId="10" xfId="0" applyFont="1" applyBorder="1">
      <alignment vertical="center"/>
    </xf>
    <xf numFmtId="0" fontId="47" fillId="0" borderId="46" xfId="0" applyFont="1" applyFill="1" applyBorder="1" applyAlignment="1">
      <alignment vertical="center"/>
    </xf>
    <xf numFmtId="0" fontId="47" fillId="0" borderId="36" xfId="0" applyFont="1" applyFill="1" applyBorder="1" applyAlignment="1">
      <alignment vertical="center"/>
    </xf>
    <xf numFmtId="0" fontId="50" fillId="0" borderId="46" xfId="0" applyFont="1" applyFill="1" applyBorder="1" applyAlignment="1">
      <alignment horizontal="left" vertical="center"/>
    </xf>
    <xf numFmtId="0" fontId="12" fillId="0" borderId="2" xfId="0" applyFont="1" applyBorder="1" applyAlignment="1">
      <alignment vertical="center"/>
    </xf>
    <xf numFmtId="0" fontId="47" fillId="0" borderId="70" xfId="0" applyFont="1" applyBorder="1" applyAlignment="1">
      <alignment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56" fillId="0" borderId="1" xfId="0" applyFont="1" applyFill="1" applyBorder="1" applyAlignment="1">
      <alignment horizontal="center" vertical="center" wrapText="1"/>
    </xf>
    <xf numFmtId="0" fontId="43" fillId="0" borderId="2" xfId="0" applyFont="1" applyFill="1" applyBorder="1" applyAlignment="1">
      <alignment horizontal="right" vertical="center" wrapText="1"/>
    </xf>
    <xf numFmtId="0" fontId="43" fillId="0" borderId="1" xfId="0" applyFont="1" applyFill="1" applyBorder="1" applyAlignment="1">
      <alignment vertical="center" wrapText="1"/>
    </xf>
    <xf numFmtId="0" fontId="43" fillId="0" borderId="1" xfId="0" applyFont="1" applyFill="1" applyBorder="1" applyAlignment="1">
      <alignment horizontal="left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61" fillId="0" borderId="1" xfId="0" applyFont="1" applyFill="1" applyBorder="1" applyAlignment="1">
      <alignment horizontal="center" vertical="center" wrapText="1"/>
    </xf>
    <xf numFmtId="0" fontId="61" fillId="0" borderId="7" xfId="0" applyFont="1" applyFill="1" applyBorder="1" applyAlignment="1">
      <alignment horizontal="right" vertical="center" wrapText="1"/>
    </xf>
    <xf numFmtId="0" fontId="61" fillId="0" borderId="4" xfId="0" applyFont="1" applyFill="1" applyBorder="1" applyAlignment="1">
      <alignment horizontal="left" vertical="center" wrapText="1"/>
    </xf>
    <xf numFmtId="0" fontId="18" fillId="2" borderId="91" xfId="0" applyFont="1" applyFill="1" applyBorder="1" applyAlignment="1">
      <alignment horizontal="center" vertical="center" wrapText="1"/>
    </xf>
    <xf numFmtId="0" fontId="18" fillId="2" borderId="44" xfId="0" applyFont="1" applyFill="1" applyBorder="1" applyAlignment="1">
      <alignment horizontal="center" vertical="center" wrapText="1"/>
    </xf>
    <xf numFmtId="0" fontId="18" fillId="2" borderId="45" xfId="0" applyFont="1" applyFill="1" applyBorder="1" applyAlignment="1">
      <alignment horizontal="center" vertical="center" wrapText="1"/>
    </xf>
    <xf numFmtId="0" fontId="18" fillId="2" borderId="90" xfId="0" applyFont="1" applyFill="1" applyBorder="1" applyAlignment="1">
      <alignment horizontal="center" vertical="center" wrapText="1"/>
    </xf>
    <xf numFmtId="0" fontId="18" fillId="0" borderId="30" xfId="0" applyFont="1" applyFill="1" applyBorder="1" applyAlignment="1">
      <alignment horizontal="center" vertical="center" wrapText="1"/>
    </xf>
    <xf numFmtId="0" fontId="18" fillId="0" borderId="46" xfId="0" applyFont="1" applyFill="1" applyBorder="1" applyAlignment="1">
      <alignment horizontal="center" vertical="center" wrapText="1"/>
    </xf>
    <xf numFmtId="0" fontId="18" fillId="0" borderId="57" xfId="0" applyFont="1" applyFill="1" applyBorder="1" applyAlignment="1">
      <alignment horizontal="center" vertical="center" wrapText="1"/>
    </xf>
    <xf numFmtId="0" fontId="61" fillId="0" borderId="30" xfId="0" applyFont="1" applyFill="1" applyBorder="1" applyAlignment="1">
      <alignment horizontal="center" vertical="center" wrapText="1"/>
    </xf>
    <xf numFmtId="0" fontId="62" fillId="0" borderId="46" xfId="0" applyFont="1" applyFill="1" applyBorder="1" applyAlignment="1">
      <alignment horizontal="center" vertical="center" wrapText="1"/>
    </xf>
    <xf numFmtId="0" fontId="18" fillId="0" borderId="0" xfId="0" applyFont="1" applyBorder="1">
      <alignment vertical="center"/>
    </xf>
    <xf numFmtId="0" fontId="43" fillId="2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44" fillId="2" borderId="3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4" fillId="2" borderId="13" xfId="0" applyFont="1" applyFill="1" applyBorder="1" applyAlignment="1">
      <alignment horizontal="center" vertical="center" wrapText="1"/>
    </xf>
    <xf numFmtId="0" fontId="44" fillId="2" borderId="14" xfId="0" applyFont="1" applyFill="1" applyBorder="1" applyAlignment="1">
      <alignment horizontal="center" vertical="center" wrapText="1"/>
    </xf>
    <xf numFmtId="31" fontId="22" fillId="0" borderId="1" xfId="0" applyNumberFormat="1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61" fillId="0" borderId="1" xfId="0" applyFont="1" applyFill="1" applyBorder="1" applyAlignment="1">
      <alignment horizontal="center" vertical="center" wrapText="1"/>
    </xf>
    <xf numFmtId="0" fontId="44" fillId="2" borderId="7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56" fillId="0" borderId="0" xfId="0" applyFont="1" applyBorder="1" applyAlignment="1">
      <alignment horizontal="left" vertical="center" wrapText="1"/>
    </xf>
    <xf numFmtId="0" fontId="56" fillId="0" borderId="10" xfId="0" applyFont="1" applyBorder="1" applyAlignment="1">
      <alignment horizontal="left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57" fillId="0" borderId="7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justify" vertical="center" wrapText="1"/>
    </xf>
    <xf numFmtId="0" fontId="20" fillId="0" borderId="1" xfId="0" applyFont="1" applyBorder="1" applyAlignment="1">
      <alignment horizontal="left" vertical="center" wrapText="1"/>
    </xf>
    <xf numFmtId="0" fontId="56" fillId="0" borderId="7" xfId="0" applyFont="1" applyFill="1" applyBorder="1" applyAlignment="1">
      <alignment horizontal="center" vertical="center" wrapText="1"/>
    </xf>
    <xf numFmtId="0" fontId="56" fillId="0" borderId="4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justify" vertical="center" wrapText="1"/>
    </xf>
    <xf numFmtId="0" fontId="23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2" fillId="0" borderId="7" xfId="0" quotePrefix="1" applyFont="1" applyFill="1" applyBorder="1" applyAlignment="1">
      <alignment horizontal="center" vertical="center" wrapText="1"/>
    </xf>
    <xf numFmtId="0" fontId="22" fillId="0" borderId="4" xfId="0" quotePrefix="1" applyFont="1" applyFill="1" applyBorder="1" applyAlignment="1">
      <alignment horizontal="center" vertical="center" wrapText="1"/>
    </xf>
    <xf numFmtId="2" fontId="61" fillId="0" borderId="1" xfId="0" applyNumberFormat="1" applyFont="1" applyFill="1" applyBorder="1" applyAlignment="1">
      <alignment horizontal="center" vertical="center" wrapText="1"/>
    </xf>
    <xf numFmtId="0" fontId="61" fillId="0" borderId="7" xfId="0" applyFont="1" applyFill="1" applyBorder="1" applyAlignment="1">
      <alignment horizontal="right" vertical="center" wrapText="1"/>
    </xf>
    <xf numFmtId="0" fontId="61" fillId="0" borderId="4" xfId="0" applyFont="1" applyFill="1" applyBorder="1" applyAlignment="1">
      <alignment horizontal="right" vertical="center" wrapText="1"/>
    </xf>
    <xf numFmtId="0" fontId="61" fillId="0" borderId="7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43" fillId="0" borderId="4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justify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18" fillId="0" borderId="47" xfId="0" applyFont="1" applyFill="1" applyBorder="1" applyAlignment="1">
      <alignment horizontal="center" vertical="center" wrapText="1"/>
    </xf>
    <xf numFmtId="0" fontId="18" fillId="0" borderId="30" xfId="0" applyFont="1" applyFill="1" applyBorder="1" applyAlignment="1">
      <alignment horizontal="center" vertical="center" wrapText="1"/>
    </xf>
    <xf numFmtId="0" fontId="18" fillId="0" borderId="46" xfId="0" applyFont="1" applyFill="1" applyBorder="1" applyAlignment="1">
      <alignment horizontal="center" vertical="center" wrapText="1"/>
    </xf>
    <xf numFmtId="0" fontId="18" fillId="0" borderId="64" xfId="0" applyFont="1" applyFill="1" applyBorder="1" applyAlignment="1">
      <alignment horizontal="center" vertical="center" wrapText="1"/>
    </xf>
    <xf numFmtId="0" fontId="18" fillId="0" borderId="56" xfId="0" applyFont="1" applyFill="1" applyBorder="1" applyAlignment="1">
      <alignment horizontal="center" vertical="center" wrapText="1"/>
    </xf>
    <xf numFmtId="0" fontId="18" fillId="2" borderId="44" xfId="0" applyFont="1" applyFill="1" applyBorder="1" applyAlignment="1">
      <alignment horizontal="center" vertical="center" wrapText="1"/>
    </xf>
    <xf numFmtId="177" fontId="61" fillId="0" borderId="47" xfId="0" applyNumberFormat="1" applyFont="1" applyFill="1" applyBorder="1" applyAlignment="1">
      <alignment horizontal="center" vertical="center" wrapText="1"/>
    </xf>
    <xf numFmtId="177" fontId="61" fillId="0" borderId="30" xfId="0" applyNumberFormat="1" applyFont="1" applyFill="1" applyBorder="1" applyAlignment="1">
      <alignment horizontal="center" vertical="center" wrapText="1"/>
    </xf>
    <xf numFmtId="177" fontId="61" fillId="0" borderId="64" xfId="0" applyNumberFormat="1" applyFont="1" applyFill="1" applyBorder="1" applyAlignment="1">
      <alignment horizontal="center" vertical="center" wrapText="1"/>
    </xf>
    <xf numFmtId="177" fontId="61" fillId="0" borderId="56" xfId="0" applyNumberFormat="1" applyFont="1" applyFill="1" applyBorder="1" applyAlignment="1">
      <alignment horizontal="center" vertical="center" wrapText="1"/>
    </xf>
    <xf numFmtId="0" fontId="18" fillId="0" borderId="50" xfId="0" applyFont="1" applyFill="1" applyBorder="1" applyAlignment="1">
      <alignment horizontal="center" vertical="center" wrapText="1"/>
    </xf>
    <xf numFmtId="0" fontId="18" fillId="0" borderId="48" xfId="0" applyFont="1" applyFill="1" applyBorder="1" applyAlignment="1">
      <alignment horizontal="center" vertical="center" wrapText="1"/>
    </xf>
    <xf numFmtId="0" fontId="18" fillId="0" borderId="58" xfId="0" applyFont="1" applyFill="1" applyBorder="1" applyAlignment="1">
      <alignment horizontal="center" vertical="center" wrapText="1"/>
    </xf>
    <xf numFmtId="0" fontId="45" fillId="0" borderId="0" xfId="0" applyFont="1" applyBorder="1" applyAlignment="1">
      <alignment horizontal="center" vertical="center"/>
    </xf>
    <xf numFmtId="0" fontId="47" fillId="2" borderId="3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/>
    </xf>
    <xf numFmtId="0" fontId="47" fillId="2" borderId="51" xfId="0" applyFont="1" applyFill="1" applyBorder="1" applyAlignment="1">
      <alignment horizontal="center" vertical="center"/>
    </xf>
    <xf numFmtId="0" fontId="47" fillId="2" borderId="11" xfId="0" applyFont="1" applyFill="1" applyBorder="1" applyAlignment="1">
      <alignment horizontal="center" vertical="center" wrapText="1"/>
    </xf>
    <xf numFmtId="0" fontId="47" fillId="2" borderId="0" xfId="0" applyFont="1" applyFill="1" applyBorder="1" applyAlignment="1">
      <alignment horizontal="center" vertical="center"/>
    </xf>
    <xf numFmtId="0" fontId="47" fillId="2" borderId="23" xfId="0" applyFont="1" applyFill="1" applyBorder="1" applyAlignment="1">
      <alignment horizontal="center" vertical="center"/>
    </xf>
    <xf numFmtId="0" fontId="47" fillId="2" borderId="11" xfId="0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47" fillId="2" borderId="12" xfId="0" applyFont="1" applyFill="1" applyBorder="1" applyAlignment="1">
      <alignment horizontal="center" vertical="center"/>
    </xf>
    <xf numFmtId="0" fontId="47" fillId="2" borderId="55" xfId="0" applyFont="1" applyFill="1" applyBorder="1" applyAlignment="1">
      <alignment horizontal="center" vertical="center"/>
    </xf>
    <xf numFmtId="0" fontId="47" fillId="0" borderId="48" xfId="0" applyFont="1" applyBorder="1" applyAlignment="1">
      <alignment horizontal="center" vertical="center"/>
    </xf>
    <xf numFmtId="0" fontId="47" fillId="0" borderId="24" xfId="0" applyFont="1" applyBorder="1" applyAlignment="1">
      <alignment horizontal="center" vertical="center"/>
    </xf>
    <xf numFmtId="0" fontId="47" fillId="0" borderId="30" xfId="0" applyFont="1" applyBorder="1" applyAlignment="1">
      <alignment horizontal="center" vertical="center"/>
    </xf>
    <xf numFmtId="0" fontId="47" fillId="2" borderId="52" xfId="0" applyFont="1" applyFill="1" applyBorder="1" applyAlignment="1">
      <alignment horizontal="left" vertical="center"/>
    </xf>
    <xf numFmtId="0" fontId="47" fillId="2" borderId="6" xfId="0" applyFont="1" applyFill="1" applyBorder="1" applyAlignment="1">
      <alignment horizontal="left" vertical="center"/>
    </xf>
    <xf numFmtId="0" fontId="47" fillId="2" borderId="51" xfId="0" applyFont="1" applyFill="1" applyBorder="1" applyAlignment="1">
      <alignment horizontal="left" vertical="center"/>
    </xf>
    <xf numFmtId="0" fontId="47" fillId="2" borderId="25" xfId="0" applyFont="1" applyFill="1" applyBorder="1" applyAlignment="1">
      <alignment horizontal="left" vertical="center"/>
    </xf>
    <xf numFmtId="0" fontId="47" fillId="2" borderId="26" xfId="0" applyFont="1" applyFill="1" applyBorder="1" applyAlignment="1">
      <alignment horizontal="left" vertical="center"/>
    </xf>
    <xf numFmtId="0" fontId="47" fillId="2" borderId="27" xfId="0" applyFont="1" applyFill="1" applyBorder="1" applyAlignment="1">
      <alignment horizontal="left" vertical="center"/>
    </xf>
    <xf numFmtId="0" fontId="47" fillId="0" borderId="52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47" fillId="0" borderId="51" xfId="0" applyFont="1" applyBorder="1" applyAlignment="1">
      <alignment horizontal="center" vertical="center"/>
    </xf>
    <xf numFmtId="0" fontId="47" fillId="0" borderId="25" xfId="0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0" fontId="47" fillId="0" borderId="27" xfId="0" applyFont="1" applyBorder="1" applyAlignment="1">
      <alignment horizontal="center" vertical="center"/>
    </xf>
    <xf numFmtId="0" fontId="47" fillId="2" borderId="48" xfId="0" applyFont="1" applyFill="1" applyBorder="1" applyAlignment="1">
      <alignment horizontal="center" vertical="center"/>
    </xf>
    <xf numFmtId="0" fontId="47" fillId="2" borderId="52" xfId="0" applyFont="1" applyFill="1" applyBorder="1" applyAlignment="1">
      <alignment horizontal="center" vertical="center"/>
    </xf>
    <xf numFmtId="0" fontId="47" fillId="2" borderId="25" xfId="0" applyFont="1" applyFill="1" applyBorder="1" applyAlignment="1">
      <alignment horizontal="center" vertical="center"/>
    </xf>
    <xf numFmtId="0" fontId="47" fillId="2" borderId="26" xfId="0" applyFont="1" applyFill="1" applyBorder="1" applyAlignment="1">
      <alignment horizontal="center" vertical="center"/>
    </xf>
    <xf numFmtId="0" fontId="47" fillId="2" borderId="27" xfId="0" applyFont="1" applyFill="1" applyBorder="1" applyAlignment="1">
      <alignment horizontal="center" vertical="center"/>
    </xf>
    <xf numFmtId="0" fontId="47" fillId="0" borderId="53" xfId="0" applyFont="1" applyBorder="1" applyAlignment="1">
      <alignment horizontal="center" vertical="center"/>
    </xf>
    <xf numFmtId="0" fontId="47" fillId="0" borderId="54" xfId="0" applyFont="1" applyBorder="1" applyAlignment="1">
      <alignment horizontal="center" vertical="center"/>
    </xf>
    <xf numFmtId="0" fontId="48" fillId="2" borderId="28" xfId="0" applyFont="1" applyFill="1" applyBorder="1" applyAlignment="1">
      <alignment horizontal="center" vertical="center"/>
    </xf>
    <xf numFmtId="0" fontId="48" fillId="2" borderId="29" xfId="0" applyFont="1" applyFill="1" applyBorder="1" applyAlignment="1">
      <alignment horizontal="center" vertical="center"/>
    </xf>
    <xf numFmtId="0" fontId="47" fillId="2" borderId="30" xfId="0" applyFont="1" applyFill="1" applyBorder="1" applyAlignment="1">
      <alignment horizontal="left" vertical="center"/>
    </xf>
    <xf numFmtId="0" fontId="47" fillId="0" borderId="56" xfId="0" applyFont="1" applyBorder="1" applyAlignment="1">
      <alignment horizontal="center" vertical="center"/>
    </xf>
    <xf numFmtId="0" fontId="47" fillId="2" borderId="56" xfId="0" applyFont="1" applyFill="1" applyBorder="1" applyAlignment="1">
      <alignment horizontal="center" vertical="center"/>
    </xf>
    <xf numFmtId="0" fontId="47" fillId="2" borderId="57" xfId="0" applyFont="1" applyFill="1" applyBorder="1" applyAlignment="1">
      <alignment horizontal="center" vertical="center"/>
    </xf>
    <xf numFmtId="0" fontId="47" fillId="0" borderId="30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right"/>
    </xf>
    <xf numFmtId="0" fontId="47" fillId="0" borderId="29" xfId="0" applyFont="1" applyBorder="1" applyAlignment="1">
      <alignment horizontal="right"/>
    </xf>
    <xf numFmtId="0" fontId="47" fillId="0" borderId="29" xfId="0" applyFont="1" applyBorder="1" applyAlignment="1">
      <alignment horizontal="left"/>
    </xf>
    <xf numFmtId="0" fontId="47" fillId="0" borderId="31" xfId="0" applyFont="1" applyBorder="1" applyAlignment="1">
      <alignment horizontal="left"/>
    </xf>
    <xf numFmtId="0" fontId="49" fillId="0" borderId="30" xfId="0" applyFont="1" applyBorder="1" applyAlignment="1">
      <alignment horizontal="center"/>
    </xf>
    <xf numFmtId="0" fontId="49" fillId="0" borderId="46" xfId="0" applyFont="1" applyBorder="1" applyAlignment="1">
      <alignment horizontal="center"/>
    </xf>
    <xf numFmtId="0" fontId="47" fillId="2" borderId="30" xfId="0" applyFont="1" applyFill="1" applyBorder="1" applyAlignment="1">
      <alignment horizontal="center" vertical="center"/>
    </xf>
    <xf numFmtId="0" fontId="47" fillId="0" borderId="28" xfId="0" applyFont="1" applyBorder="1" applyAlignment="1">
      <alignment horizontal="right" vertical="top"/>
    </xf>
    <xf numFmtId="0" fontId="47" fillId="0" borderId="29" xfId="0" applyFont="1" applyBorder="1" applyAlignment="1">
      <alignment horizontal="right" vertical="top"/>
    </xf>
    <xf numFmtId="0" fontId="47" fillId="2" borderId="29" xfId="0" applyFont="1" applyFill="1" applyBorder="1" applyAlignment="1">
      <alignment horizontal="left" vertical="top"/>
    </xf>
    <xf numFmtId="0" fontId="47" fillId="2" borderId="31" xfId="0" applyFont="1" applyFill="1" applyBorder="1" applyAlignment="1">
      <alignment horizontal="left" vertical="top"/>
    </xf>
    <xf numFmtId="0" fontId="49" fillId="0" borderId="30" xfId="0" applyFont="1" applyBorder="1" applyAlignment="1">
      <alignment horizontal="center" vertical="top"/>
    </xf>
    <xf numFmtId="0" fontId="49" fillId="0" borderId="46" xfId="0" applyFont="1" applyBorder="1" applyAlignment="1">
      <alignment horizontal="center" vertical="top"/>
    </xf>
    <xf numFmtId="0" fontId="49" fillId="0" borderId="30" xfId="0" applyFont="1" applyFill="1" applyBorder="1" applyAlignment="1">
      <alignment horizontal="center"/>
    </xf>
    <xf numFmtId="0" fontId="49" fillId="0" borderId="46" xfId="0" applyFont="1" applyFill="1" applyBorder="1" applyAlignment="1">
      <alignment horizontal="center"/>
    </xf>
    <xf numFmtId="176" fontId="47" fillId="0" borderId="56" xfId="0" applyNumberFormat="1" applyFont="1" applyBorder="1" applyAlignment="1">
      <alignment horizontal="center" vertical="center"/>
    </xf>
    <xf numFmtId="0" fontId="47" fillId="2" borderId="3" xfId="0" applyFont="1" applyFill="1" applyBorder="1" applyAlignment="1">
      <alignment horizontal="center" vertical="center"/>
    </xf>
    <xf numFmtId="176" fontId="47" fillId="0" borderId="48" xfId="0" applyNumberFormat="1" applyFont="1" applyBorder="1" applyAlignment="1">
      <alignment horizontal="center" vertical="center"/>
    </xf>
    <xf numFmtId="49" fontId="47" fillId="3" borderId="49" xfId="0" applyNumberFormat="1" applyFont="1" applyFill="1" applyBorder="1" applyAlignment="1">
      <alignment horizontal="center" vertical="center"/>
    </xf>
    <xf numFmtId="49" fontId="47" fillId="3" borderId="32" xfId="0" applyNumberFormat="1" applyFont="1" applyFill="1" applyBorder="1" applyAlignment="1">
      <alignment horizontal="center" vertical="center"/>
    </xf>
    <xf numFmtId="49" fontId="47" fillId="3" borderId="35" xfId="0" applyNumberFormat="1" applyFont="1" applyFill="1" applyBorder="1" applyAlignment="1">
      <alignment horizontal="center" vertical="center"/>
    </xf>
    <xf numFmtId="0" fontId="47" fillId="3" borderId="48" xfId="0" applyFont="1" applyFill="1" applyBorder="1" applyAlignment="1">
      <alignment horizontal="center" vertical="center"/>
    </xf>
    <xf numFmtId="176" fontId="47" fillId="0" borderId="30" xfId="0" applyNumberFormat="1" applyFont="1" applyBorder="1" applyAlignment="1">
      <alignment horizontal="center" vertical="center"/>
    </xf>
    <xf numFmtId="49" fontId="47" fillId="0" borderId="30" xfId="0" applyNumberFormat="1" applyFont="1" applyBorder="1" applyAlignment="1">
      <alignment horizontal="center" vertical="center"/>
    </xf>
    <xf numFmtId="49" fontId="47" fillId="0" borderId="56" xfId="0" applyNumberFormat="1" applyFont="1" applyBorder="1" applyAlignment="1">
      <alignment horizontal="center" vertical="center"/>
    </xf>
    <xf numFmtId="0" fontId="50" fillId="2" borderId="7" xfId="0" applyFont="1" applyFill="1" applyBorder="1" applyAlignment="1">
      <alignment horizontal="center" vertical="center"/>
    </xf>
    <xf numFmtId="0" fontId="47" fillId="2" borderId="2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/>
    </xf>
    <xf numFmtId="0" fontId="47" fillId="2" borderId="34" xfId="0" applyFont="1" applyFill="1" applyBorder="1" applyAlignment="1">
      <alignment horizontal="center" vertical="center"/>
    </xf>
    <xf numFmtId="0" fontId="47" fillId="2" borderId="32" xfId="0" applyFont="1" applyFill="1" applyBorder="1" applyAlignment="1">
      <alignment horizontal="center" vertical="center"/>
    </xf>
    <xf numFmtId="0" fontId="47" fillId="2" borderId="33" xfId="0" applyFont="1" applyFill="1" applyBorder="1" applyAlignment="1">
      <alignment horizontal="center" vertical="center"/>
    </xf>
    <xf numFmtId="0" fontId="47" fillId="0" borderId="34" xfId="0" applyFont="1" applyFill="1" applyBorder="1" applyAlignment="1">
      <alignment horizontal="center" vertical="center"/>
    </xf>
    <xf numFmtId="0" fontId="47" fillId="0" borderId="32" xfId="0" applyFont="1" applyFill="1" applyBorder="1" applyAlignment="1">
      <alignment horizontal="center" vertical="center"/>
    </xf>
    <xf numFmtId="0" fontId="47" fillId="0" borderId="33" xfId="0" applyFont="1" applyFill="1" applyBorder="1" applyAlignment="1">
      <alignment horizontal="center" vertical="center"/>
    </xf>
    <xf numFmtId="0" fontId="47" fillId="0" borderId="35" xfId="0" applyFont="1" applyFill="1" applyBorder="1" applyAlignment="1">
      <alignment horizontal="center" vertical="center"/>
    </xf>
    <xf numFmtId="0" fontId="47" fillId="2" borderId="37" xfId="0" applyFont="1" applyFill="1" applyBorder="1" applyAlignment="1">
      <alignment horizontal="center" vertical="center"/>
    </xf>
    <xf numFmtId="0" fontId="47" fillId="2" borderId="29" xfId="0" applyFont="1" applyFill="1" applyBorder="1" applyAlignment="1">
      <alignment horizontal="center" vertical="center"/>
    </xf>
    <xf numFmtId="0" fontId="47" fillId="2" borderId="36" xfId="0" applyFont="1" applyFill="1" applyBorder="1" applyAlignment="1">
      <alignment horizontal="center" vertical="center"/>
    </xf>
    <xf numFmtId="0" fontId="47" fillId="0" borderId="37" xfId="0" applyFont="1" applyFill="1" applyBorder="1" applyAlignment="1">
      <alignment horizontal="center" vertical="center"/>
    </xf>
    <xf numFmtId="0" fontId="47" fillId="0" borderId="29" xfId="0" applyFont="1" applyFill="1" applyBorder="1" applyAlignment="1">
      <alignment horizontal="center" vertical="center"/>
    </xf>
    <xf numFmtId="0" fontId="47" fillId="0" borderId="31" xfId="0" applyFont="1" applyFill="1" applyBorder="1" applyAlignment="1">
      <alignment horizontal="center" vertical="center"/>
    </xf>
    <xf numFmtId="0" fontId="47" fillId="2" borderId="38" xfId="0" applyFont="1" applyFill="1" applyBorder="1" applyAlignment="1">
      <alignment horizontal="center" vertical="center"/>
    </xf>
    <xf numFmtId="0" fontId="47" fillId="2" borderId="39" xfId="0" applyFont="1" applyFill="1" applyBorder="1" applyAlignment="1">
      <alignment horizontal="center" vertical="center"/>
    </xf>
    <xf numFmtId="0" fontId="47" fillId="2" borderId="40" xfId="0" applyFont="1" applyFill="1" applyBorder="1" applyAlignment="1">
      <alignment horizontal="center" vertical="center"/>
    </xf>
    <xf numFmtId="0" fontId="47" fillId="2" borderId="28" xfId="0" applyFont="1" applyFill="1" applyBorder="1" applyAlignment="1">
      <alignment horizontal="center" vertical="center"/>
    </xf>
    <xf numFmtId="0" fontId="47" fillId="0" borderId="36" xfId="0" applyFont="1" applyFill="1" applyBorder="1" applyAlignment="1">
      <alignment horizontal="center" vertical="center"/>
    </xf>
    <xf numFmtId="0" fontId="51" fillId="2" borderId="37" xfId="0" applyFont="1" applyFill="1" applyBorder="1" applyAlignment="1">
      <alignment horizontal="center" vertical="center" wrapText="1"/>
    </xf>
    <xf numFmtId="0" fontId="51" fillId="2" borderId="29" xfId="0" applyFont="1" applyFill="1" applyBorder="1" applyAlignment="1">
      <alignment horizontal="center" vertical="center" wrapText="1"/>
    </xf>
    <xf numFmtId="0" fontId="51" fillId="2" borderId="36" xfId="0" applyFont="1" applyFill="1" applyBorder="1" applyAlignment="1">
      <alignment horizontal="center" vertical="center" wrapText="1"/>
    </xf>
    <xf numFmtId="0" fontId="47" fillId="0" borderId="28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0" borderId="37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/>
    </xf>
    <xf numFmtId="0" fontId="13" fillId="0" borderId="63" xfId="0" applyFont="1" applyFill="1" applyBorder="1" applyAlignment="1">
      <alignment horizontal="center" vertical="center"/>
    </xf>
    <xf numFmtId="0" fontId="47" fillId="0" borderId="58" xfId="0" applyFont="1" applyBorder="1" applyAlignment="1">
      <alignment horizontal="center" vertical="center"/>
    </xf>
    <xf numFmtId="0" fontId="47" fillId="0" borderId="47" xfId="0" applyFont="1" applyBorder="1" applyAlignment="1">
      <alignment horizontal="center" vertical="center"/>
    </xf>
    <xf numFmtId="178" fontId="47" fillId="0" borderId="30" xfId="0" applyNumberFormat="1" applyFont="1" applyBorder="1" applyAlignment="1">
      <alignment horizontal="center" vertical="center"/>
    </xf>
    <xf numFmtId="0" fontId="47" fillId="0" borderId="46" xfId="0" applyFont="1" applyBorder="1" applyAlignment="1">
      <alignment horizontal="center" vertical="center"/>
    </xf>
    <xf numFmtId="0" fontId="49" fillId="0" borderId="50" xfId="0" applyFont="1" applyBorder="1" applyAlignment="1">
      <alignment horizontal="center" vertical="center" wrapText="1"/>
    </xf>
    <xf numFmtId="0" fontId="49" fillId="0" borderId="48" xfId="0" applyFont="1" applyBorder="1" applyAlignment="1">
      <alignment horizontal="center" vertical="center" wrapText="1"/>
    </xf>
    <xf numFmtId="0" fontId="49" fillId="0" borderId="47" xfId="0" applyFont="1" applyBorder="1" applyAlignment="1">
      <alignment horizontal="center" vertical="center" wrapText="1"/>
    </xf>
    <xf numFmtId="0" fontId="49" fillId="0" borderId="30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5" fillId="0" borderId="48" xfId="0" applyFont="1" applyBorder="1" applyAlignment="1">
      <alignment horizontal="right" vertical="center"/>
    </xf>
    <xf numFmtId="0" fontId="15" fillId="0" borderId="30" xfId="0" applyFont="1" applyBorder="1" applyAlignment="1">
      <alignment horizontal="right" vertical="center"/>
    </xf>
    <xf numFmtId="177" fontId="14" fillId="0" borderId="48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49" fillId="0" borderId="5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47" fillId="0" borderId="50" xfId="0" applyFont="1" applyBorder="1" applyAlignment="1">
      <alignment horizontal="center" vertical="center"/>
    </xf>
    <xf numFmtId="0" fontId="53" fillId="0" borderId="64" xfId="0" applyFont="1" applyBorder="1" applyAlignment="1">
      <alignment horizontal="center" vertical="center" wrapText="1"/>
    </xf>
    <xf numFmtId="0" fontId="53" fillId="0" borderId="56" xfId="0" applyFont="1" applyBorder="1" applyAlignment="1">
      <alignment horizontal="center" vertical="center"/>
    </xf>
    <xf numFmtId="0" fontId="47" fillId="0" borderId="57" xfId="0" applyFont="1" applyBorder="1" applyAlignment="1">
      <alignment horizontal="center" vertical="center"/>
    </xf>
    <xf numFmtId="0" fontId="47" fillId="0" borderId="64" xfId="0" applyFont="1" applyBorder="1" applyAlignment="1">
      <alignment horizontal="center" vertical="center"/>
    </xf>
    <xf numFmtId="178" fontId="47" fillId="0" borderId="56" xfId="0" applyNumberFormat="1" applyFont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left" vertical="center"/>
    </xf>
    <xf numFmtId="0" fontId="47" fillId="4" borderId="2" xfId="0" applyFont="1" applyFill="1" applyBorder="1" applyAlignment="1">
      <alignment horizontal="left" vertical="center"/>
    </xf>
    <xf numFmtId="0" fontId="47" fillId="4" borderId="4" xfId="0" applyFont="1" applyFill="1" applyBorder="1" applyAlignment="1">
      <alignment horizontal="left" vertical="center"/>
    </xf>
    <xf numFmtId="0" fontId="47" fillId="0" borderId="3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/>
    </xf>
    <xf numFmtId="0" fontId="9" fillId="4" borderId="44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179" fontId="9" fillId="4" borderId="8" xfId="0" applyNumberFormat="1" applyFont="1" applyFill="1" applyBorder="1" applyAlignment="1">
      <alignment horizontal="center" vertical="center"/>
    </xf>
    <xf numFmtId="179" fontId="9" fillId="4" borderId="44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7" fillId="5" borderId="7" xfId="0" applyFont="1" applyFill="1" applyBorder="1" applyAlignment="1">
      <alignment horizontal="left" vertical="center"/>
    </xf>
    <xf numFmtId="0" fontId="47" fillId="5" borderId="2" xfId="0" applyFont="1" applyFill="1" applyBorder="1" applyAlignment="1">
      <alignment horizontal="left" vertical="center"/>
    </xf>
    <xf numFmtId="0" fontId="47" fillId="5" borderId="4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7" fillId="5" borderId="8" xfId="0" applyFont="1" applyFill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47" fillId="6" borderId="7" xfId="0" applyFont="1" applyFill="1" applyBorder="1" applyAlignment="1">
      <alignment horizontal="left" vertical="center"/>
    </xf>
    <xf numFmtId="0" fontId="47" fillId="6" borderId="2" xfId="0" applyFont="1" applyFill="1" applyBorder="1" applyAlignment="1">
      <alignment horizontal="left" vertical="center"/>
    </xf>
    <xf numFmtId="0" fontId="47" fillId="6" borderId="4" xfId="0" applyFont="1" applyFill="1" applyBorder="1" applyAlignment="1">
      <alignment horizontal="left" vertical="center"/>
    </xf>
    <xf numFmtId="0" fontId="47" fillId="6" borderId="1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left" vertical="center"/>
    </xf>
    <xf numFmtId="0" fontId="9" fillId="7" borderId="32" xfId="0" applyFont="1" applyFill="1" applyBorder="1" applyAlignment="1">
      <alignment horizontal="left" vertical="center"/>
    </xf>
    <xf numFmtId="0" fontId="9" fillId="7" borderId="33" xfId="0" applyFont="1" applyFill="1" applyBorder="1" applyAlignment="1">
      <alignment horizontal="left" vertical="center"/>
    </xf>
    <xf numFmtId="0" fontId="9" fillId="7" borderId="60" xfId="0" applyFont="1" applyFill="1" applyBorder="1" applyAlignment="1">
      <alignment horizontal="left" vertical="center"/>
    </xf>
    <xf numFmtId="0" fontId="9" fillId="7" borderId="61" xfId="0" applyFont="1" applyFill="1" applyBorder="1" applyAlignment="1">
      <alignment horizontal="left" vertical="center"/>
    </xf>
    <xf numFmtId="0" fontId="9" fillId="7" borderId="62" xfId="0" applyFont="1" applyFill="1" applyBorder="1" applyAlignment="1">
      <alignment horizontal="left" vertical="center"/>
    </xf>
    <xf numFmtId="0" fontId="9" fillId="6" borderId="44" xfId="0" applyFont="1" applyFill="1" applyBorder="1" applyAlignment="1">
      <alignment horizontal="center" vertical="center"/>
    </xf>
    <xf numFmtId="0" fontId="9" fillId="6" borderId="45" xfId="0" applyFont="1" applyFill="1" applyBorder="1" applyAlignment="1">
      <alignment horizontal="center" vertical="center"/>
    </xf>
    <xf numFmtId="0" fontId="47" fillId="0" borderId="37" xfId="0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center"/>
    </xf>
    <xf numFmtId="0" fontId="47" fillId="0" borderId="31" xfId="0" applyFont="1" applyBorder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/>
    </xf>
    <xf numFmtId="0" fontId="12" fillId="2" borderId="68" xfId="0" applyFont="1" applyFill="1" applyBorder="1" applyAlignment="1">
      <alignment horizontal="center" vertical="center"/>
    </xf>
    <xf numFmtId="0" fontId="12" fillId="2" borderId="71" xfId="0" applyFont="1" applyFill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 wrapText="1"/>
    </xf>
    <xf numFmtId="0" fontId="12" fillId="2" borderId="69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0" fontId="47" fillId="0" borderId="40" xfId="0" applyFont="1" applyBorder="1" applyAlignment="1">
      <alignment horizontal="center" vertical="center"/>
    </xf>
    <xf numFmtId="0" fontId="47" fillId="0" borderId="66" xfId="0" applyFont="1" applyBorder="1" applyAlignment="1">
      <alignment horizontal="center" vertical="center"/>
    </xf>
    <xf numFmtId="0" fontId="47" fillId="0" borderId="40" xfId="0" applyFont="1" applyFill="1" applyBorder="1" applyAlignment="1">
      <alignment horizontal="center" vertical="center"/>
    </xf>
    <xf numFmtId="0" fontId="47" fillId="0" borderId="26" xfId="0" applyFont="1" applyFill="1" applyBorder="1" applyAlignment="1">
      <alignment horizontal="center" vertical="center"/>
    </xf>
    <xf numFmtId="0" fontId="47" fillId="0" borderId="66" xfId="0" applyFont="1" applyFill="1" applyBorder="1" applyAlignment="1">
      <alignment horizontal="center" vertical="center"/>
    </xf>
    <xf numFmtId="0" fontId="47" fillId="0" borderId="47" xfId="0" applyFont="1" applyBorder="1" applyAlignment="1">
      <alignment horizontal="center" vertical="center" wrapText="1"/>
    </xf>
    <xf numFmtId="2" fontId="47" fillId="0" borderId="37" xfId="0" applyNumberFormat="1" applyFont="1" applyBorder="1" applyAlignment="1">
      <alignment horizontal="center" vertical="center"/>
    </xf>
    <xf numFmtId="2" fontId="47" fillId="0" borderId="29" xfId="0" applyNumberFormat="1" applyFont="1" applyBorder="1" applyAlignment="1">
      <alignment horizontal="center" vertical="center"/>
    </xf>
    <xf numFmtId="2" fontId="47" fillId="0" borderId="31" xfId="0" applyNumberFormat="1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180" fontId="53" fillId="8" borderId="37" xfId="0" applyNumberFormat="1" applyFont="1" applyFill="1" applyBorder="1" applyAlignment="1">
      <alignment horizontal="center" vertical="center"/>
    </xf>
    <xf numFmtId="180" fontId="53" fillId="8" borderId="29" xfId="0" applyNumberFormat="1" applyFont="1" applyFill="1" applyBorder="1" applyAlignment="1">
      <alignment horizontal="center" vertical="center"/>
    </xf>
    <xf numFmtId="180" fontId="53" fillId="8" borderId="31" xfId="0" applyNumberFormat="1" applyFont="1" applyFill="1" applyBorder="1" applyAlignment="1">
      <alignment horizontal="center" vertical="center"/>
    </xf>
    <xf numFmtId="0" fontId="47" fillId="8" borderId="37" xfId="0" applyNumberFormat="1" applyFont="1" applyFill="1" applyBorder="1" applyAlignment="1">
      <alignment horizontal="center" vertical="center"/>
    </xf>
    <xf numFmtId="0" fontId="47" fillId="8" borderId="29" xfId="0" applyNumberFormat="1" applyFont="1" applyFill="1" applyBorder="1" applyAlignment="1">
      <alignment horizontal="center" vertical="center"/>
    </xf>
    <xf numFmtId="0" fontId="47" fillId="8" borderId="31" xfId="0" applyNumberFormat="1" applyFont="1" applyFill="1" applyBorder="1" applyAlignment="1">
      <alignment horizontal="center" vertical="center"/>
    </xf>
    <xf numFmtId="0" fontId="47" fillId="0" borderId="28" xfId="0" applyFont="1" applyBorder="1" applyAlignment="1">
      <alignment horizontal="left" vertical="center"/>
    </xf>
    <xf numFmtId="0" fontId="47" fillId="0" borderId="36" xfId="0" applyFont="1" applyBorder="1" applyAlignment="1">
      <alignment horizontal="left" vertical="center"/>
    </xf>
    <xf numFmtId="0" fontId="13" fillId="0" borderId="64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47" fillId="2" borderId="60" xfId="0" applyFont="1" applyFill="1" applyBorder="1" applyAlignment="1">
      <alignment horizontal="center" vertical="center"/>
    </xf>
    <xf numFmtId="0" fontId="47" fillId="2" borderId="61" xfId="0" applyFont="1" applyFill="1" applyBorder="1" applyAlignment="1">
      <alignment horizontal="center" vertical="center"/>
    </xf>
    <xf numFmtId="0" fontId="47" fillId="2" borderId="63" xfId="0" applyFont="1" applyFill="1" applyBorder="1" applyAlignment="1">
      <alignment horizontal="center" vertical="center"/>
    </xf>
    <xf numFmtId="180" fontId="47" fillId="2" borderId="60" xfId="0" applyNumberFormat="1" applyFont="1" applyFill="1" applyBorder="1" applyAlignment="1">
      <alignment horizontal="center" vertical="center"/>
    </xf>
    <xf numFmtId="180" fontId="47" fillId="2" borderId="61" xfId="0" applyNumberFormat="1" applyFont="1" applyFill="1" applyBorder="1" applyAlignment="1">
      <alignment horizontal="center" vertical="center"/>
    </xf>
    <xf numFmtId="180" fontId="47" fillId="2" borderId="63" xfId="0" applyNumberFormat="1" applyFont="1" applyFill="1" applyBorder="1" applyAlignment="1">
      <alignment horizontal="center" vertical="center"/>
    </xf>
    <xf numFmtId="0" fontId="47" fillId="0" borderId="70" xfId="0" applyFont="1" applyBorder="1" applyAlignment="1">
      <alignment horizontal="left" vertical="center"/>
    </xf>
    <xf numFmtId="0" fontId="47" fillId="0" borderId="62" xfId="0" applyFont="1" applyBorder="1" applyAlignment="1">
      <alignment horizontal="left" vertical="center"/>
    </xf>
    <xf numFmtId="0" fontId="12" fillId="0" borderId="7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180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50" fillId="0" borderId="72" xfId="0" applyFont="1" applyBorder="1" applyAlignment="1">
      <alignment horizontal="center" vertical="center" wrapText="1"/>
    </xf>
    <xf numFmtId="0" fontId="50" fillId="0" borderId="73" xfId="0" applyFont="1" applyBorder="1" applyAlignment="1">
      <alignment horizontal="center" vertical="center"/>
    </xf>
    <xf numFmtId="0" fontId="50" fillId="0" borderId="74" xfId="0" applyFont="1" applyBorder="1" applyAlignment="1">
      <alignment horizontal="center" vertical="center"/>
    </xf>
    <xf numFmtId="0" fontId="50" fillId="0" borderId="59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7" fillId="2" borderId="8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0" fontId="10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58" xfId="0" applyFont="1" applyFill="1" applyBorder="1" applyAlignment="1">
      <alignment horizontal="center" vertical="center"/>
    </xf>
    <xf numFmtId="0" fontId="10" fillId="2" borderId="75" xfId="0" applyFont="1" applyFill="1" applyBorder="1" applyAlignment="1">
      <alignment horizontal="center" vertical="center"/>
    </xf>
    <xf numFmtId="0" fontId="10" fillId="2" borderId="76" xfId="0" applyFont="1" applyFill="1" applyBorder="1" applyAlignment="1">
      <alignment horizontal="center" vertical="center"/>
    </xf>
    <xf numFmtId="0" fontId="10" fillId="2" borderId="77" xfId="0" applyFont="1" applyFill="1" applyBorder="1" applyAlignment="1">
      <alignment horizontal="center" vertical="center"/>
    </xf>
    <xf numFmtId="0" fontId="8" fillId="2" borderId="75" xfId="0" applyFont="1" applyFill="1" applyBorder="1" applyAlignment="1">
      <alignment horizontal="center" vertical="center"/>
    </xf>
    <xf numFmtId="0" fontId="8" fillId="2" borderId="76" xfId="0" applyFont="1" applyFill="1" applyBorder="1" applyAlignment="1">
      <alignment horizontal="center" vertical="center"/>
    </xf>
    <xf numFmtId="0" fontId="8" fillId="2" borderId="77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55" fillId="2" borderId="78" xfId="0" applyFont="1" applyFill="1" applyBorder="1" applyAlignment="1">
      <alignment horizontal="center" vertical="center"/>
    </xf>
    <xf numFmtId="0" fontId="55" fillId="2" borderId="79" xfId="0" applyFont="1" applyFill="1" applyBorder="1" applyAlignment="1">
      <alignment horizontal="center" vertical="center"/>
    </xf>
    <xf numFmtId="0" fontId="55" fillId="2" borderId="80" xfId="0" applyFont="1" applyFill="1" applyBorder="1" applyAlignment="1">
      <alignment horizontal="center" vertical="center"/>
    </xf>
    <xf numFmtId="0" fontId="8" fillId="2" borderId="81" xfId="0" applyFont="1" applyFill="1" applyBorder="1" applyAlignment="1">
      <alignment horizontal="center" vertical="center"/>
    </xf>
    <xf numFmtId="0" fontId="8" fillId="2" borderId="79" xfId="0" applyFont="1" applyFill="1" applyBorder="1" applyAlignment="1">
      <alignment horizontal="center" vertical="center"/>
    </xf>
    <xf numFmtId="0" fontId="8" fillId="2" borderId="80" xfId="0" applyFont="1" applyFill="1" applyBorder="1" applyAlignment="1">
      <alignment horizontal="center" vertical="center"/>
    </xf>
    <xf numFmtId="0" fontId="51" fillId="2" borderId="79" xfId="0" applyFont="1" applyFill="1" applyBorder="1" applyAlignment="1">
      <alignment horizontal="center" vertical="center"/>
    </xf>
    <xf numFmtId="0" fontId="51" fillId="2" borderId="82" xfId="0" applyFont="1" applyFill="1" applyBorder="1" applyAlignment="1">
      <alignment horizontal="center" vertical="center"/>
    </xf>
    <xf numFmtId="0" fontId="55" fillId="2" borderId="83" xfId="0" applyFont="1" applyFill="1" applyBorder="1" applyAlignment="1">
      <alignment horizontal="center" vertical="center"/>
    </xf>
    <xf numFmtId="0" fontId="55" fillId="2" borderId="30" xfId="0" applyFont="1" applyFill="1" applyBorder="1" applyAlignment="1">
      <alignment horizontal="center" vertical="center"/>
    </xf>
    <xf numFmtId="0" fontId="55" fillId="2" borderId="28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51" fillId="2" borderId="30" xfId="0" applyFont="1" applyFill="1" applyBorder="1" applyAlignment="1">
      <alignment horizontal="center" vertical="center"/>
    </xf>
    <xf numFmtId="0" fontId="51" fillId="2" borderId="84" xfId="0" applyFont="1" applyFill="1" applyBorder="1" applyAlignment="1">
      <alignment horizontal="center" vertical="center"/>
    </xf>
    <xf numFmtId="0" fontId="55" fillId="2" borderId="85" xfId="0" applyFont="1" applyFill="1" applyBorder="1" applyAlignment="1">
      <alignment horizontal="center" vertical="center"/>
    </xf>
    <xf numFmtId="0" fontId="55" fillId="2" borderId="86" xfId="0" applyFont="1" applyFill="1" applyBorder="1" applyAlignment="1">
      <alignment horizontal="center" vertical="center"/>
    </xf>
    <xf numFmtId="0" fontId="55" fillId="2" borderId="87" xfId="0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86" xfId="0" applyFont="1" applyFill="1" applyBorder="1" applyAlignment="1">
      <alignment horizontal="center" vertical="center"/>
    </xf>
    <xf numFmtId="0" fontId="8" fillId="2" borderId="87" xfId="0" applyFont="1" applyFill="1" applyBorder="1" applyAlignment="1">
      <alignment horizontal="center" vertical="center"/>
    </xf>
    <xf numFmtId="0" fontId="51" fillId="2" borderId="86" xfId="0" applyFont="1" applyFill="1" applyBorder="1" applyAlignment="1">
      <alignment horizontal="center" vertical="center"/>
    </xf>
    <xf numFmtId="0" fontId="51" fillId="2" borderId="89" xfId="0" applyFont="1" applyFill="1" applyBorder="1" applyAlignment="1">
      <alignment horizontal="center" vertical="center"/>
    </xf>
    <xf numFmtId="0" fontId="10" fillId="2" borderId="65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64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0" fontId="10" fillId="2" borderId="70" xfId="0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9" fillId="2" borderId="70" xfId="0" applyFont="1" applyFill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2" fillId="0" borderId="0" xfId="3" applyFont="1" applyAlignment="1">
      <alignment horizontal="left" vertical="center"/>
    </xf>
    <xf numFmtId="0" fontId="2" fillId="0" borderId="3" xfId="3" applyBorder="1" applyAlignment="1">
      <alignment horizontal="center" vertical="center"/>
    </xf>
    <xf numFmtId="0" fontId="2" fillId="0" borderId="6" xfId="3" applyBorder="1" applyAlignment="1">
      <alignment horizontal="center" vertical="center"/>
    </xf>
    <xf numFmtId="0" fontId="2" fillId="0" borderId="5" xfId="3" applyBorder="1" applyAlignment="1">
      <alignment horizontal="center" vertical="center"/>
    </xf>
    <xf numFmtId="0" fontId="2" fillId="0" borderId="11" xfId="3" applyBorder="1" applyAlignment="1">
      <alignment horizontal="center" vertical="center"/>
    </xf>
    <xf numFmtId="0" fontId="2" fillId="0" borderId="0" xfId="3" applyBorder="1" applyAlignment="1">
      <alignment horizontal="center" vertical="center"/>
    </xf>
    <xf numFmtId="0" fontId="2" fillId="0" borderId="10" xfId="3" applyBorder="1" applyAlignment="1">
      <alignment horizontal="center" vertical="center"/>
    </xf>
    <xf numFmtId="0" fontId="2" fillId="0" borderId="13" xfId="3" applyBorder="1" applyAlignment="1">
      <alignment horizontal="center" vertical="center"/>
    </xf>
    <xf numFmtId="0" fontId="2" fillId="0" borderId="12" xfId="3" applyBorder="1" applyAlignment="1">
      <alignment horizontal="center" vertical="center"/>
    </xf>
    <xf numFmtId="0" fontId="2" fillId="0" borderId="14" xfId="3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10" fillId="2" borderId="1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1" xfId="3" applyFont="1" applyBorder="1" applyAlignment="1">
      <alignment horizontal="right" vertical="center"/>
    </xf>
    <xf numFmtId="0" fontId="9" fillId="2" borderId="1" xfId="3" applyFont="1" applyFill="1" applyBorder="1" applyAlignment="1">
      <alignment horizontal="left" vertical="center"/>
    </xf>
    <xf numFmtId="0" fontId="11" fillId="0" borderId="1" xfId="3" applyFont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10" fillId="2" borderId="6" xfId="3" applyFont="1" applyFill="1" applyBorder="1" applyAlignment="1">
      <alignment horizontal="center" vertical="center"/>
    </xf>
    <xf numFmtId="0" fontId="10" fillId="2" borderId="5" xfId="3" applyFont="1" applyFill="1" applyBorder="1" applyAlignment="1">
      <alignment horizontal="center" vertical="center"/>
    </xf>
    <xf numFmtId="0" fontId="10" fillId="2" borderId="13" xfId="3" applyFont="1" applyFill="1" applyBorder="1" applyAlignment="1">
      <alignment horizontal="center" vertical="center"/>
    </xf>
    <xf numFmtId="0" fontId="10" fillId="2" borderId="12" xfId="3" applyFont="1" applyFill="1" applyBorder="1" applyAlignment="1">
      <alignment horizontal="center" vertical="center"/>
    </xf>
    <xf numFmtId="0" fontId="10" fillId="2" borderId="14" xfId="3" applyFont="1" applyFill="1" applyBorder="1" applyAlignment="1">
      <alignment horizontal="center" vertical="center"/>
    </xf>
    <xf numFmtId="0" fontId="25" fillId="2" borderId="7" xfId="3" applyFont="1" applyFill="1" applyBorder="1" applyAlignment="1">
      <alignment horizontal="left" vertical="center" wrapText="1"/>
    </xf>
    <xf numFmtId="0" fontId="25" fillId="2" borderId="2" xfId="3" applyFont="1" applyFill="1" applyBorder="1" applyAlignment="1">
      <alignment horizontal="left" vertical="center" wrapText="1"/>
    </xf>
    <xf numFmtId="0" fontId="25" fillId="2" borderId="4" xfId="3" applyFont="1" applyFill="1" applyBorder="1" applyAlignment="1">
      <alignment horizontal="left" vertical="center" wrapText="1"/>
    </xf>
    <xf numFmtId="0" fontId="25" fillId="2" borderId="7" xfId="3" applyFont="1" applyFill="1" applyBorder="1" applyAlignment="1">
      <alignment horizontal="center" vertical="center"/>
    </xf>
    <xf numFmtId="0" fontId="25" fillId="2" borderId="2" xfId="3" applyFont="1" applyFill="1" applyBorder="1" applyAlignment="1">
      <alignment horizontal="center" vertical="center"/>
    </xf>
    <xf numFmtId="0" fontId="25" fillId="2" borderId="4" xfId="3" applyFont="1" applyFill="1" applyBorder="1" applyAlignment="1">
      <alignment horizontal="center" vertical="center"/>
    </xf>
    <xf numFmtId="0" fontId="27" fillId="0" borderId="6" xfId="3" applyFont="1" applyBorder="1" applyAlignment="1">
      <alignment horizontal="left" vertical="center"/>
    </xf>
    <xf numFmtId="0" fontId="27" fillId="0" borderId="5" xfId="3" applyFont="1" applyBorder="1" applyAlignment="1">
      <alignment horizontal="left" vertical="center"/>
    </xf>
    <xf numFmtId="0" fontId="8" fillId="0" borderId="1" xfId="3" applyFont="1" applyBorder="1" applyAlignment="1">
      <alignment horizontal="center" vertical="center"/>
    </xf>
    <xf numFmtId="0" fontId="27" fillId="0" borderId="12" xfId="3" applyFont="1" applyBorder="1" applyAlignment="1">
      <alignment horizontal="left" vertical="center"/>
    </xf>
    <xf numFmtId="0" fontId="27" fillId="0" borderId="14" xfId="3" applyFont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27" fillId="0" borderId="2" xfId="3" applyFont="1" applyBorder="1" applyAlignment="1">
      <alignment horizontal="left" vertical="center"/>
    </xf>
    <xf numFmtId="0" fontId="27" fillId="0" borderId="4" xfId="3" applyFont="1" applyBorder="1" applyAlignment="1">
      <alignment horizontal="left" vertical="center"/>
    </xf>
    <xf numFmtId="0" fontId="11" fillId="0" borderId="3" xfId="3" quotePrefix="1" applyFont="1" applyBorder="1" applyAlignment="1">
      <alignment horizontal="center" vertical="top"/>
    </xf>
    <xf numFmtId="0" fontId="11" fillId="0" borderId="11" xfId="3" quotePrefix="1" applyFont="1" applyBorder="1" applyAlignment="1">
      <alignment horizontal="center" vertical="top"/>
    </xf>
    <xf numFmtId="0" fontId="11" fillId="0" borderId="13" xfId="3" quotePrefix="1" applyFont="1" applyBorder="1" applyAlignment="1">
      <alignment horizontal="center" vertical="top"/>
    </xf>
    <xf numFmtId="0" fontId="27" fillId="0" borderId="0" xfId="3" quotePrefix="1" applyFont="1" applyBorder="1" applyAlignment="1">
      <alignment horizontal="left" vertical="center"/>
    </xf>
    <xf numFmtId="0" fontId="27" fillId="0" borderId="10" xfId="3" quotePrefix="1" applyFont="1" applyBorder="1" applyAlignment="1">
      <alignment horizontal="left" vertical="center"/>
    </xf>
    <xf numFmtId="0" fontId="27" fillId="0" borderId="12" xfId="3" quotePrefix="1" applyFont="1" applyBorder="1" applyAlignment="1">
      <alignment horizontal="left" vertical="center"/>
    </xf>
    <xf numFmtId="0" fontId="27" fillId="0" borderId="14" xfId="3" quotePrefix="1" applyFont="1" applyBorder="1" applyAlignment="1">
      <alignment horizontal="left" vertical="center"/>
    </xf>
    <xf numFmtId="0" fontId="29" fillId="0" borderId="0" xfId="4" applyFont="1" applyAlignment="1">
      <alignment horizontal="center" vertical="center"/>
    </xf>
    <xf numFmtId="0" fontId="29" fillId="0" borderId="15" xfId="4" applyFont="1" applyBorder="1" applyAlignment="1">
      <alignment horizontal="center" vertical="center"/>
    </xf>
    <xf numFmtId="0" fontId="31" fillId="0" borderId="16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41" fillId="0" borderId="16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left" vertical="center" wrapText="1"/>
    </xf>
    <xf numFmtId="0" fontId="17" fillId="0" borderId="18" xfId="4" applyFont="1" applyBorder="1" applyAlignment="1">
      <alignment horizontal="left" vertical="center" wrapText="1"/>
    </xf>
    <xf numFmtId="0" fontId="17" fillId="0" borderId="16" xfId="4" applyFont="1" applyBorder="1" applyAlignment="1">
      <alignment horizontal="justify" vertical="center" wrapText="1"/>
    </xf>
    <xf numFmtId="0" fontId="17" fillId="2" borderId="16" xfId="4" applyFont="1" applyFill="1" applyBorder="1" applyAlignment="1">
      <alignment horizontal="center" vertical="center" wrapText="1"/>
    </xf>
    <xf numFmtId="0" fontId="17" fillId="2" borderId="19" xfId="4" applyFont="1" applyFill="1" applyBorder="1" applyAlignment="1">
      <alignment horizontal="center" vertical="center" wrapText="1"/>
    </xf>
    <xf numFmtId="0" fontId="17" fillId="2" borderId="20" xfId="4" applyFont="1" applyFill="1" applyBorder="1" applyAlignment="1">
      <alignment horizontal="center" vertical="center" wrapText="1"/>
    </xf>
    <xf numFmtId="0" fontId="17" fillId="2" borderId="21" xfId="4" applyFont="1" applyFill="1" applyBorder="1" applyAlignment="1">
      <alignment horizontal="center" vertical="center" wrapText="1"/>
    </xf>
    <xf numFmtId="0" fontId="17" fillId="0" borderId="16" xfId="4" applyFont="1" applyBorder="1" applyAlignment="1">
      <alignment horizontal="left" vertical="center" wrapText="1"/>
    </xf>
    <xf numFmtId="0" fontId="17" fillId="0" borderId="21" xfId="4" applyFont="1" applyBorder="1" applyAlignment="1">
      <alignment horizontal="left" vertical="center" wrapText="1" indent="1"/>
    </xf>
    <xf numFmtId="0" fontId="17" fillId="0" borderId="16" xfId="4" applyFont="1" applyBorder="1" applyAlignment="1">
      <alignment horizontal="left" vertical="center" wrapText="1" indent="1"/>
    </xf>
    <xf numFmtId="0" fontId="42" fillId="0" borderId="16" xfId="4" applyFont="1" applyBorder="1" applyAlignment="1">
      <alignment horizontal="center" vertical="center" wrapText="1"/>
    </xf>
    <xf numFmtId="0" fontId="17" fillId="0" borderId="19" xfId="4" applyFont="1" applyBorder="1" applyAlignment="1">
      <alignment horizontal="left" vertical="center" wrapText="1" indent="1"/>
    </xf>
    <xf numFmtId="0" fontId="17" fillId="0" borderId="20" xfId="4" applyFont="1" applyBorder="1" applyAlignment="1">
      <alignment horizontal="left" vertical="center" wrapText="1" indent="1"/>
    </xf>
    <xf numFmtId="0" fontId="40" fillId="0" borderId="0" xfId="3" applyFont="1" applyFill="1" applyBorder="1" applyAlignment="1">
      <alignment horizontal="center" vertical="center"/>
    </xf>
    <xf numFmtId="0" fontId="16" fillId="0" borderId="0" xfId="3" applyFont="1" applyBorder="1" applyAlignment="1">
      <alignment horizontal="right" vertical="center"/>
    </xf>
    <xf numFmtId="0" fontId="16" fillId="0" borderId="0" xfId="3" applyFont="1" applyBorder="1" applyAlignment="1">
      <alignment horizontal="left" vertical="center"/>
    </xf>
    <xf numFmtId="0" fontId="16" fillId="0" borderId="10" xfId="3" applyFont="1" applyBorder="1" applyAlignment="1">
      <alignment horizontal="left" vertical="center"/>
    </xf>
    <xf numFmtId="0" fontId="16" fillId="0" borderId="0" xfId="3" applyFont="1" applyBorder="1" applyAlignment="1">
      <alignment horizontal="center" vertical="center"/>
    </xf>
    <xf numFmtId="0" fontId="39" fillId="0" borderId="0" xfId="3" applyFont="1" applyBorder="1" applyAlignment="1">
      <alignment horizontal="center" vertical="center"/>
    </xf>
    <xf numFmtId="0" fontId="36" fillId="0" borderId="0" xfId="3" applyFont="1" applyBorder="1" applyAlignment="1">
      <alignment horizontal="center" vertical="center"/>
    </xf>
  </cellXfs>
  <cellStyles count="6">
    <cellStyle name="표준" xfId="0" builtinId="0"/>
    <cellStyle name="표준 2" xfId="1" xr:uid="{00000000-0005-0000-0000-000001000000}"/>
    <cellStyle name="표준 2 2" xfId="4" xr:uid="{A7766208-91F7-48FF-849A-BC50C061C93C}"/>
    <cellStyle name="표준 3" xfId="2" xr:uid="{00000000-0005-0000-0000-000002000000}"/>
    <cellStyle name="표준 3 2" xfId="5" xr:uid="{B3AD081F-41D2-425F-AD9C-CB063A37AD7E}"/>
    <cellStyle name="표준 4" xfId="3" xr:uid="{8FBE9843-23DA-4A78-B8B5-2BDEAA2ADCD3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1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jpeg"/><Relationship Id="rId3" Type="http://schemas.openxmlformats.org/officeDocument/2006/relationships/image" Target="../media/image8.jpeg"/><Relationship Id="rId7" Type="http://schemas.openxmlformats.org/officeDocument/2006/relationships/image" Target="file:///C:\Users\park\AppData\Local\Temp\hunclip1\03\huntemp.files\img0001.jpg" TargetMode="External"/><Relationship Id="rId2" Type="http://schemas.openxmlformats.org/officeDocument/2006/relationships/image" Target="../media/image7.jpeg"/><Relationship Id="rId1" Type="http://schemas.openxmlformats.org/officeDocument/2006/relationships/image" Target="../media/image6.jpeg"/><Relationship Id="rId6" Type="http://schemas.openxmlformats.org/officeDocument/2006/relationships/image" Target="../media/image11.jpeg"/><Relationship Id="rId5" Type="http://schemas.openxmlformats.org/officeDocument/2006/relationships/image" Target="../media/image10.png"/><Relationship Id="rId4" Type="http://schemas.openxmlformats.org/officeDocument/2006/relationships/image" Target="../media/image9.jpeg"/><Relationship Id="rId9" Type="http://schemas.openxmlformats.org/officeDocument/2006/relationships/image" Target="file:///C:\Users\park\AppData\Local\Temp\hunclip1\03\huntemp.files\img0002.jp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565417</xdr:colOff>
      <xdr:row>0</xdr:row>
      <xdr:rowOff>71157</xdr:rowOff>
    </xdr:from>
    <xdr:to>
      <xdr:col>8</xdr:col>
      <xdr:colOff>670192</xdr:colOff>
      <xdr:row>3</xdr:row>
      <xdr:rowOff>112059</xdr:rowOff>
    </xdr:to>
    <xdr:sp macro="" textlink="">
      <xdr:nvSpPr>
        <xdr:cNvPr id="3" name="자유형 3">
          <a:extLst>
            <a:ext uri="{FF2B5EF4-FFF2-40B4-BE49-F238E27FC236}">
              <a16:creationId xmlns:a16="http://schemas.microsoft.com/office/drawing/2014/main" id="{FD0A6518-50C7-407C-917D-211EFC99DE96}"/>
            </a:ext>
          </a:extLst>
        </xdr:cNvPr>
        <xdr:cNvSpPr>
          <a:spLocks noChangeArrowheads="1"/>
        </xdr:cNvSpPr>
      </xdr:nvSpPr>
      <xdr:spPr bwMode="auto">
        <a:xfrm>
          <a:off x="1708417" y="71157"/>
          <a:ext cx="5886450" cy="612402"/>
        </a:xfrm>
        <a:custGeom>
          <a:avLst/>
          <a:gdLst>
            <a:gd name="T0" fmla="*/ 21600 w 21600"/>
            <a:gd name="T1" fmla="*/ 0 h 21600"/>
            <a:gd name="T2" fmla="*/ 21600 w 21600"/>
            <a:gd name="T3" fmla="*/ 21600 h 21600"/>
            <a:gd name="T4" fmla="*/ 0 w 21600"/>
            <a:gd name="T5" fmla="*/ 21600 h 21600"/>
            <a:gd name="T6" fmla="*/ 0 w 21600"/>
            <a:gd name="T7" fmla="*/ 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21600" h="21600">
              <a:moveTo>
                <a:pt x="2160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  <a:effectLst>
          <a:outerShdw dist="53882" dir="2700000" algn="ctr" rotWithShape="0">
            <a:srgbClr val="808080"/>
          </a:outerShdw>
        </a:effectLst>
      </xdr:spPr>
      <xdr:txBody>
        <a:bodyPr rot="0" vert="horz" wrap="square" lIns="57150" tIns="66675" rIns="57150" bIns="66675" anchor="ctr" anchorCtr="0" upright="1">
          <a:noAutofit/>
        </a:bodyPr>
        <a:lstStyle/>
        <a:p>
          <a:pPr algn="ctr" fontAlgn="b" latinLnBrk="1">
            <a:lnSpc>
              <a:spcPct val="81000"/>
            </a:lnSpc>
            <a:spcAft>
              <a:spcPts val="0"/>
            </a:spcAft>
          </a:pPr>
          <a:r>
            <a:rPr lang="ko-KR" altLang="en-US" sz="16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중량물 취급</a:t>
          </a:r>
          <a:r>
            <a:rPr lang="ko-KR" altLang="en-US" sz="1600" b="1" kern="100" baseline="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 </a:t>
          </a:r>
          <a:r>
            <a:rPr lang="ko-KR" sz="16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작업계획서</a:t>
          </a:r>
          <a:endParaRPr lang="ko-KR" sz="1000" b="1" kern="100">
            <a:effectLst/>
            <a:latin typeface="+mj-ea"/>
            <a:ea typeface="+mj-ea"/>
            <a:cs typeface="바탕"/>
          </a:endParaRPr>
        </a:p>
        <a:p>
          <a:pPr algn="ctr" fontAlgn="b" latinLnBrk="1">
            <a:lnSpc>
              <a:spcPct val="82000"/>
            </a:lnSpc>
            <a:spcAft>
              <a:spcPts val="0"/>
            </a:spcAft>
          </a:pPr>
          <a:r>
            <a:rPr lang="en-US" sz="12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(</a:t>
          </a:r>
          <a:r>
            <a:rPr lang="ko-KR" sz="12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산업안전보건기준에</a:t>
          </a:r>
          <a:r>
            <a:rPr lang="ko-KR" sz="1200" b="1" kern="100" spc="215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 </a:t>
          </a:r>
          <a:r>
            <a:rPr lang="ko-KR" sz="12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관한</a:t>
          </a:r>
          <a:r>
            <a:rPr lang="ko-KR" sz="1200" b="1" kern="100" spc="215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 </a:t>
          </a:r>
          <a:r>
            <a:rPr lang="ko-KR" sz="12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규칙</a:t>
          </a:r>
          <a:r>
            <a:rPr lang="ko-KR" sz="1200" b="1" kern="100" spc="215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 </a:t>
          </a:r>
          <a:r>
            <a:rPr lang="ko-KR" sz="12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제</a:t>
          </a:r>
          <a:r>
            <a:rPr lang="en-US" sz="12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38</a:t>
          </a:r>
          <a:r>
            <a:rPr lang="ko-KR" sz="12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조</a:t>
          </a:r>
          <a:r>
            <a:rPr lang="en-US" sz="12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)</a:t>
          </a:r>
          <a:endParaRPr lang="ko-KR" sz="1000" b="1" kern="100">
            <a:effectLst/>
            <a:latin typeface="+mj-ea"/>
            <a:ea typeface="+mj-ea"/>
            <a:cs typeface="바탕"/>
          </a:endParaRPr>
        </a:p>
      </xdr:txBody>
    </xdr:sp>
    <xdr:clientData/>
  </xdr:twoCellAnchor>
  <xdr:twoCellAnchor editAs="oneCell">
    <xdr:from>
      <xdr:col>12</xdr:col>
      <xdr:colOff>95250</xdr:colOff>
      <xdr:row>2</xdr:row>
      <xdr:rowOff>108857</xdr:rowOff>
    </xdr:from>
    <xdr:to>
      <xdr:col>18</xdr:col>
      <xdr:colOff>333375</xdr:colOff>
      <xdr:row>9</xdr:row>
      <xdr:rowOff>144236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436D1DC-0C00-4752-B818-BB39222CF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0929" y="489857"/>
          <a:ext cx="4320268" cy="1777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95251</xdr:colOff>
      <xdr:row>9</xdr:row>
      <xdr:rowOff>149679</xdr:rowOff>
    </xdr:from>
    <xdr:to>
      <xdr:col>18</xdr:col>
      <xdr:colOff>333375</xdr:colOff>
      <xdr:row>14</xdr:row>
      <xdr:rowOff>63954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BFAF63C-DBFD-4BB2-AE6B-141CFC39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1" y="2272393"/>
          <a:ext cx="4320267" cy="1016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81644</xdr:colOff>
      <xdr:row>14</xdr:row>
      <xdr:rowOff>95251</xdr:rowOff>
    </xdr:from>
    <xdr:to>
      <xdr:col>18</xdr:col>
      <xdr:colOff>319768</xdr:colOff>
      <xdr:row>18</xdr:row>
      <xdr:rowOff>161927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FF00CEA-3A93-48E8-8396-FD1612D3A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8144" y="3320144"/>
          <a:ext cx="4320267" cy="126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108858</xdr:colOff>
      <xdr:row>18</xdr:row>
      <xdr:rowOff>190500</xdr:rowOff>
    </xdr:from>
    <xdr:to>
      <xdr:col>18</xdr:col>
      <xdr:colOff>346982</xdr:colOff>
      <xdr:row>21</xdr:row>
      <xdr:rowOff>32657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481174D-93CC-4C7D-BB91-33608C3D5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4537" y="4844143"/>
          <a:ext cx="4320267" cy="508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68036</xdr:colOff>
      <xdr:row>22</xdr:row>
      <xdr:rowOff>122465</xdr:rowOff>
    </xdr:from>
    <xdr:to>
      <xdr:col>24</xdr:col>
      <xdr:colOff>54429</xdr:colOff>
      <xdr:row>39</xdr:row>
      <xdr:rowOff>78923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82B44887-1BF4-4385-BA04-45284F1FA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8143" y="5674179"/>
          <a:ext cx="8150679" cy="4201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34637</xdr:colOff>
      <xdr:row>0</xdr:row>
      <xdr:rowOff>138546</xdr:rowOff>
    </xdr:from>
    <xdr:to>
      <xdr:col>17</xdr:col>
      <xdr:colOff>294410</xdr:colOff>
      <xdr:row>0</xdr:row>
      <xdr:rowOff>606137</xdr:rowOff>
    </xdr:to>
    <xdr:sp macro="" textlink="">
      <xdr:nvSpPr>
        <xdr:cNvPr id="3" name="자유형 3">
          <a:extLst>
            <a:ext uri="{FF2B5EF4-FFF2-40B4-BE49-F238E27FC236}">
              <a16:creationId xmlns:a16="http://schemas.microsoft.com/office/drawing/2014/main" id="{820A7DA2-3B03-46F7-B1E5-0D1DE8F48D0D}"/>
            </a:ext>
          </a:extLst>
        </xdr:cNvPr>
        <xdr:cNvSpPr>
          <a:spLocks noChangeArrowheads="1"/>
        </xdr:cNvSpPr>
      </xdr:nvSpPr>
      <xdr:spPr bwMode="auto">
        <a:xfrm>
          <a:off x="2216728" y="138546"/>
          <a:ext cx="4260273" cy="467591"/>
        </a:xfrm>
        <a:custGeom>
          <a:avLst/>
          <a:gdLst>
            <a:gd name="T0" fmla="*/ 21600 w 21600"/>
            <a:gd name="T1" fmla="*/ 0 h 21600"/>
            <a:gd name="T2" fmla="*/ 21600 w 21600"/>
            <a:gd name="T3" fmla="*/ 21600 h 21600"/>
            <a:gd name="T4" fmla="*/ 0 w 21600"/>
            <a:gd name="T5" fmla="*/ 21600 h 21600"/>
            <a:gd name="T6" fmla="*/ 0 w 21600"/>
            <a:gd name="T7" fmla="*/ 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21600" h="21600">
              <a:moveTo>
                <a:pt x="2160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  <a:effectLst>
          <a:outerShdw dist="53882" dir="2700000" algn="ctr" rotWithShape="0">
            <a:srgbClr val="808080"/>
          </a:outerShdw>
        </a:effectLst>
      </xdr:spPr>
      <xdr:txBody>
        <a:bodyPr rot="0" vert="horz" wrap="square" lIns="57150" tIns="66675" rIns="57150" bIns="66675" anchor="t" anchorCtr="0" upright="1">
          <a:noAutofit/>
        </a:bodyPr>
        <a:lstStyle/>
        <a:p>
          <a:pPr algn="ctr" fontAlgn="b" latinLnBrk="1">
            <a:lnSpc>
              <a:spcPct val="81000"/>
            </a:lnSpc>
            <a:spcAft>
              <a:spcPts val="0"/>
            </a:spcAft>
          </a:pPr>
          <a:r>
            <a:rPr lang="ko-KR" altLang="en-US" sz="24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양중작업 계획서</a:t>
          </a:r>
          <a:endParaRPr lang="ko-KR" sz="1200" b="1" kern="100">
            <a:effectLst/>
            <a:latin typeface="+mj-ea"/>
            <a:ea typeface="+mj-ea"/>
            <a:cs typeface="바탕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183079</xdr:colOff>
      <xdr:row>0</xdr:row>
      <xdr:rowOff>145968</xdr:rowOff>
    </xdr:from>
    <xdr:to>
      <xdr:col>19</xdr:col>
      <xdr:colOff>142257</xdr:colOff>
      <xdr:row>0</xdr:row>
      <xdr:rowOff>598715</xdr:rowOff>
    </xdr:to>
    <xdr:sp macro="" textlink="">
      <xdr:nvSpPr>
        <xdr:cNvPr id="2" name="자유형 3">
          <a:extLst>
            <a:ext uri="{FF2B5EF4-FFF2-40B4-BE49-F238E27FC236}">
              <a16:creationId xmlns:a16="http://schemas.microsoft.com/office/drawing/2014/main" id="{30C9131E-C1F3-4FDC-9E39-698239984BCD}"/>
            </a:ext>
          </a:extLst>
        </xdr:cNvPr>
        <xdr:cNvSpPr>
          <a:spLocks noChangeArrowheads="1"/>
        </xdr:cNvSpPr>
      </xdr:nvSpPr>
      <xdr:spPr bwMode="auto">
        <a:xfrm>
          <a:off x="1747900" y="145968"/>
          <a:ext cx="4653643" cy="452747"/>
        </a:xfrm>
        <a:custGeom>
          <a:avLst/>
          <a:gdLst>
            <a:gd name="T0" fmla="*/ 21600 w 21600"/>
            <a:gd name="T1" fmla="*/ 0 h 21600"/>
            <a:gd name="T2" fmla="*/ 21600 w 21600"/>
            <a:gd name="T3" fmla="*/ 21600 h 21600"/>
            <a:gd name="T4" fmla="*/ 0 w 21600"/>
            <a:gd name="T5" fmla="*/ 21600 h 21600"/>
            <a:gd name="T6" fmla="*/ 0 w 21600"/>
            <a:gd name="T7" fmla="*/ 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21600" h="21600">
              <a:moveTo>
                <a:pt x="2160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  <a:effectLst>
          <a:outerShdw dist="53882" dir="2700000" algn="ctr" rotWithShape="0">
            <a:srgbClr val="808080"/>
          </a:outerShdw>
        </a:effectLst>
      </xdr:spPr>
      <xdr:txBody>
        <a:bodyPr rot="0" vert="horz" wrap="square" lIns="57150" tIns="66675" rIns="57150" bIns="66675" anchor="t" anchorCtr="0" upright="1">
          <a:noAutofit/>
        </a:bodyPr>
        <a:lstStyle/>
        <a:p>
          <a:pPr algn="ctr" fontAlgn="b" latinLnBrk="1">
            <a:lnSpc>
              <a:spcPct val="81000"/>
            </a:lnSpc>
            <a:spcAft>
              <a:spcPts val="0"/>
            </a:spcAft>
          </a:pPr>
          <a:r>
            <a:rPr lang="ko-KR" altLang="en-US" sz="24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이동식 크레인 지내력 검토</a:t>
          </a:r>
          <a:endParaRPr lang="ko-KR" sz="1200" b="1" kern="100">
            <a:effectLst/>
            <a:latin typeface="+mj-ea"/>
            <a:ea typeface="+mj-ea"/>
            <a:cs typeface="바탕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5</xdr:row>
      <xdr:rowOff>47625</xdr:rowOff>
    </xdr:from>
    <xdr:to>
      <xdr:col>4</xdr:col>
      <xdr:colOff>1495425</xdr:colOff>
      <xdr:row>10</xdr:row>
      <xdr:rowOff>114300</xdr:rowOff>
    </xdr:to>
    <xdr:pic>
      <xdr:nvPicPr>
        <xdr:cNvPr id="3" name="그림 124" descr="img0004">
          <a:extLst>
            <a:ext uri="{FF2B5EF4-FFF2-40B4-BE49-F238E27FC236}">
              <a16:creationId xmlns:a16="http://schemas.microsoft.com/office/drawing/2014/main" id="{8160D509-1C9C-4841-9FE6-FE7A41F4A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1352550"/>
          <a:ext cx="294322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57150</xdr:colOff>
      <xdr:row>12</xdr:row>
      <xdr:rowOff>123825</xdr:rowOff>
    </xdr:from>
    <xdr:to>
      <xdr:col>3</xdr:col>
      <xdr:colOff>571500</xdr:colOff>
      <xdr:row>13</xdr:row>
      <xdr:rowOff>323850</xdr:rowOff>
    </xdr:to>
    <xdr:pic>
      <xdr:nvPicPr>
        <xdr:cNvPr id="4" name="그림 123" descr="img0005">
          <a:extLst>
            <a:ext uri="{FF2B5EF4-FFF2-40B4-BE49-F238E27FC236}">
              <a16:creationId xmlns:a16="http://schemas.microsoft.com/office/drawing/2014/main" id="{3FE78C0C-0034-4EE1-BC9B-23CE0D62B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3629025"/>
          <a:ext cx="5143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12</xdr:row>
      <xdr:rowOff>171450</xdr:rowOff>
    </xdr:from>
    <xdr:to>
      <xdr:col>3</xdr:col>
      <xdr:colOff>1028700</xdr:colOff>
      <xdr:row>13</xdr:row>
      <xdr:rowOff>323850</xdr:rowOff>
    </xdr:to>
    <xdr:pic>
      <xdr:nvPicPr>
        <xdr:cNvPr id="5" name="그림 122" descr="img0006">
          <a:extLst>
            <a:ext uri="{FF2B5EF4-FFF2-40B4-BE49-F238E27FC236}">
              <a16:creationId xmlns:a16="http://schemas.microsoft.com/office/drawing/2014/main" id="{165B1320-D6AC-4B53-9F6E-F5080BB14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3975" y="3676650"/>
          <a:ext cx="4286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1019175</xdr:colOff>
      <xdr:row>12</xdr:row>
      <xdr:rowOff>133350</xdr:rowOff>
    </xdr:from>
    <xdr:to>
      <xdr:col>3</xdr:col>
      <xdr:colOff>1495425</xdr:colOff>
      <xdr:row>13</xdr:row>
      <xdr:rowOff>323850</xdr:rowOff>
    </xdr:to>
    <xdr:pic>
      <xdr:nvPicPr>
        <xdr:cNvPr id="6" name="그림 121" descr="img0007">
          <a:extLst>
            <a:ext uri="{FF2B5EF4-FFF2-40B4-BE49-F238E27FC236}">
              <a16:creationId xmlns:a16="http://schemas.microsoft.com/office/drawing/2014/main" id="{50CD06D2-97BC-42E9-9AC7-A5D062D54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3638550"/>
          <a:ext cx="4762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12</xdr:row>
      <xdr:rowOff>152399</xdr:rowOff>
    </xdr:from>
    <xdr:to>
      <xdr:col>4</xdr:col>
      <xdr:colOff>923925</xdr:colOff>
      <xdr:row>13</xdr:row>
      <xdr:rowOff>133349</xdr:rowOff>
    </xdr:to>
    <xdr:pic>
      <xdr:nvPicPr>
        <xdr:cNvPr id="7" name="그림 120" descr="img0008">
          <a:extLst>
            <a:ext uri="{FF2B5EF4-FFF2-40B4-BE49-F238E27FC236}">
              <a16:creationId xmlns:a16="http://schemas.microsoft.com/office/drawing/2014/main" id="{24BC2DD2-B942-4BCD-AA41-03E68B288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3657599"/>
          <a:ext cx="8382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114300</xdr:colOff>
      <xdr:row>13</xdr:row>
      <xdr:rowOff>438150</xdr:rowOff>
    </xdr:from>
    <xdr:to>
      <xdr:col>4</xdr:col>
      <xdr:colOff>942975</xdr:colOff>
      <xdr:row>13</xdr:row>
      <xdr:rowOff>666750</xdr:rowOff>
    </xdr:to>
    <xdr:grpSp>
      <xdr:nvGrpSpPr>
        <xdr:cNvPr id="8" name="그룹 11">
          <a:extLst>
            <a:ext uri="{FF2B5EF4-FFF2-40B4-BE49-F238E27FC236}">
              <a16:creationId xmlns:a16="http://schemas.microsoft.com/office/drawing/2014/main" id="{3839687D-B46B-4EAC-ABBA-E796CAD3E262}"/>
            </a:ext>
          </a:extLst>
        </xdr:cNvPr>
        <xdr:cNvGrpSpPr>
          <a:grpSpLocks/>
        </xdr:cNvGrpSpPr>
      </xdr:nvGrpSpPr>
      <xdr:grpSpPr bwMode="auto">
        <a:xfrm>
          <a:off x="5501217" y="4449233"/>
          <a:ext cx="828675" cy="228600"/>
          <a:chOff x="0" y="0"/>
          <a:chExt cx="1300" cy="440"/>
        </a:xfrm>
      </xdr:grpSpPr>
      <xdr:sp macro="" textlink="">
        <xdr:nvSpPr>
          <xdr:cNvPr id="9" name="Rectangle 7" descr="C:\Users\park\AppData\Local\Temp\hunclip1\03\huntemp.files\img0001.jpg">
            <a:extLst>
              <a:ext uri="{FF2B5EF4-FFF2-40B4-BE49-F238E27FC236}">
                <a16:creationId xmlns:a16="http://schemas.microsoft.com/office/drawing/2014/main" id="{6A685B11-16C0-4D68-9D05-983DBF14B7C9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300" cy="440"/>
          </a:xfrm>
          <a:prstGeom prst="rect">
            <a:avLst/>
          </a:prstGeom>
          <a:blipFill dpi="0" rotWithShape="0">
            <a:blip xmlns:r="http://schemas.openxmlformats.org/officeDocument/2006/relationships" r:embed="rId6" r:link="rId7"/>
            <a:srcRect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8">
            <a:extLst>
              <a:ext uri="{FF2B5EF4-FFF2-40B4-BE49-F238E27FC236}">
                <a16:creationId xmlns:a16="http://schemas.microsoft.com/office/drawing/2014/main" id="{1CFE2A9B-D21E-42C4-88FF-7C073039433A}"/>
              </a:ext>
            </a:extLst>
          </xdr:cNvPr>
          <xdr:cNvSpPr>
            <a:spLocks noChangeArrowheads="1"/>
          </xdr:cNvSpPr>
        </xdr:nvSpPr>
        <xdr:spPr bwMode="auto">
          <a:xfrm>
            <a:off x="600" y="119"/>
            <a:ext cx="179" cy="110"/>
          </a:xfrm>
          <a:prstGeom prst="rect">
            <a:avLst/>
          </a:prstGeom>
          <a:solidFill>
            <a:srgbClr val="666666"/>
          </a:solidFill>
          <a:ln w="9525">
            <a:solidFill>
              <a:srgbClr val="666666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114300</xdr:colOff>
      <xdr:row>24</xdr:row>
      <xdr:rowOff>352425</xdr:rowOff>
    </xdr:from>
    <xdr:to>
      <xdr:col>4</xdr:col>
      <xdr:colOff>1038225</xdr:colOff>
      <xdr:row>24</xdr:row>
      <xdr:rowOff>609600</xdr:rowOff>
    </xdr:to>
    <xdr:grpSp>
      <xdr:nvGrpSpPr>
        <xdr:cNvPr id="11" name="그룹 14">
          <a:extLst>
            <a:ext uri="{FF2B5EF4-FFF2-40B4-BE49-F238E27FC236}">
              <a16:creationId xmlns:a16="http://schemas.microsoft.com/office/drawing/2014/main" id="{00F4F35C-B7DA-4CDC-8303-082597401CD7}"/>
            </a:ext>
          </a:extLst>
        </xdr:cNvPr>
        <xdr:cNvGrpSpPr>
          <a:grpSpLocks/>
        </xdr:cNvGrpSpPr>
      </xdr:nvGrpSpPr>
      <xdr:grpSpPr bwMode="auto">
        <a:xfrm>
          <a:off x="5501217" y="8554508"/>
          <a:ext cx="923925" cy="257175"/>
          <a:chOff x="0" y="0"/>
          <a:chExt cx="1300" cy="440"/>
        </a:xfrm>
      </xdr:grpSpPr>
      <xdr:sp macro="" textlink="">
        <xdr:nvSpPr>
          <xdr:cNvPr id="12" name="Rectangle 10" descr="C:\Users\park\AppData\Local\Temp\hunclip1\03\huntemp.files\img0002.jpg">
            <a:extLst>
              <a:ext uri="{FF2B5EF4-FFF2-40B4-BE49-F238E27FC236}">
                <a16:creationId xmlns:a16="http://schemas.microsoft.com/office/drawing/2014/main" id="{E82259DB-54DA-421D-9848-7D9E31869C18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300" cy="440"/>
          </a:xfrm>
          <a:prstGeom prst="rect">
            <a:avLst/>
          </a:prstGeom>
          <a:blipFill dpi="0" rotWithShape="0">
            <a:blip xmlns:r="http://schemas.openxmlformats.org/officeDocument/2006/relationships" r:embed="rId8" r:link="rId9"/>
            <a:srcRect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11">
            <a:extLst>
              <a:ext uri="{FF2B5EF4-FFF2-40B4-BE49-F238E27FC236}">
                <a16:creationId xmlns:a16="http://schemas.microsoft.com/office/drawing/2014/main" id="{A90FCFDA-83F1-4683-85B4-FADF2ED41299}"/>
              </a:ext>
            </a:extLst>
          </xdr:cNvPr>
          <xdr:cNvSpPr>
            <a:spLocks noChangeArrowheads="1"/>
          </xdr:cNvSpPr>
        </xdr:nvSpPr>
        <xdr:spPr bwMode="auto">
          <a:xfrm>
            <a:off x="600" y="119"/>
            <a:ext cx="179" cy="110"/>
          </a:xfrm>
          <a:prstGeom prst="rect">
            <a:avLst/>
          </a:prstGeom>
          <a:solidFill>
            <a:srgbClr val="666666"/>
          </a:solidFill>
          <a:ln w="9525">
            <a:solidFill>
              <a:srgbClr val="666666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114300</xdr:colOff>
      <xdr:row>23</xdr:row>
      <xdr:rowOff>161925</xdr:rowOff>
    </xdr:from>
    <xdr:to>
      <xdr:col>4</xdr:col>
      <xdr:colOff>952500</xdr:colOff>
      <xdr:row>24</xdr:row>
      <xdr:rowOff>76200</xdr:rowOff>
    </xdr:to>
    <xdr:pic>
      <xdr:nvPicPr>
        <xdr:cNvPr id="14" name="그림 120" descr="img0008">
          <a:extLst>
            <a:ext uri="{FF2B5EF4-FFF2-40B4-BE49-F238E27FC236}">
              <a16:creationId xmlns:a16="http://schemas.microsoft.com/office/drawing/2014/main" id="{5D9853E9-9426-4589-A140-FD1A9075E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7581900"/>
          <a:ext cx="838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114300</xdr:colOff>
      <xdr:row>23</xdr:row>
      <xdr:rowOff>76200</xdr:rowOff>
    </xdr:from>
    <xdr:to>
      <xdr:col>3</xdr:col>
      <xdr:colOff>628650</xdr:colOff>
      <xdr:row>24</xdr:row>
      <xdr:rowOff>219075</xdr:rowOff>
    </xdr:to>
    <xdr:pic>
      <xdr:nvPicPr>
        <xdr:cNvPr id="15" name="그림 123" descr="img0005">
          <a:extLst>
            <a:ext uri="{FF2B5EF4-FFF2-40B4-BE49-F238E27FC236}">
              <a16:creationId xmlns:a16="http://schemas.microsoft.com/office/drawing/2014/main" id="{F4337E1E-A2D7-4BFD-89D6-037314E9C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7496175"/>
          <a:ext cx="5143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609600</xdr:colOff>
      <xdr:row>23</xdr:row>
      <xdr:rowOff>95250</xdr:rowOff>
    </xdr:from>
    <xdr:to>
      <xdr:col>3</xdr:col>
      <xdr:colOff>1028700</xdr:colOff>
      <xdr:row>24</xdr:row>
      <xdr:rowOff>228600</xdr:rowOff>
    </xdr:to>
    <xdr:pic>
      <xdr:nvPicPr>
        <xdr:cNvPr id="16" name="그림 122" descr="img0006">
          <a:extLst>
            <a:ext uri="{FF2B5EF4-FFF2-40B4-BE49-F238E27FC236}">
              <a16:creationId xmlns:a16="http://schemas.microsoft.com/office/drawing/2014/main" id="{3D403850-A78B-4C99-A488-69F6A3504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7515225"/>
          <a:ext cx="4191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1028700</xdr:colOff>
      <xdr:row>23</xdr:row>
      <xdr:rowOff>114300</xdr:rowOff>
    </xdr:from>
    <xdr:to>
      <xdr:col>3</xdr:col>
      <xdr:colOff>1514475</xdr:colOff>
      <xdr:row>24</xdr:row>
      <xdr:rowOff>247650</xdr:rowOff>
    </xdr:to>
    <xdr:pic>
      <xdr:nvPicPr>
        <xdr:cNvPr id="17" name="그림 121" descr="img0007">
          <a:extLst>
            <a:ext uri="{FF2B5EF4-FFF2-40B4-BE49-F238E27FC236}">
              <a16:creationId xmlns:a16="http://schemas.microsoft.com/office/drawing/2014/main" id="{D94F1F12-63BB-4717-B003-8F51D520A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7534275"/>
          <a:ext cx="4857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23</xdr:row>
      <xdr:rowOff>66675</xdr:rowOff>
    </xdr:from>
    <xdr:to>
      <xdr:col>3</xdr:col>
      <xdr:colOff>581025</xdr:colOff>
      <xdr:row>24</xdr:row>
      <xdr:rowOff>390525</xdr:rowOff>
    </xdr:to>
    <xdr:pic>
      <xdr:nvPicPr>
        <xdr:cNvPr id="18" name="그림 123" descr="img0005">
          <a:extLst>
            <a:ext uri="{FF2B5EF4-FFF2-40B4-BE49-F238E27FC236}">
              <a16:creationId xmlns:a16="http://schemas.microsoft.com/office/drawing/2014/main" id="{0513F6B4-E80A-46EE-9C54-BBDD4884B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7486650"/>
          <a:ext cx="5143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23</xdr:row>
      <xdr:rowOff>76200</xdr:rowOff>
    </xdr:from>
    <xdr:to>
      <xdr:col>3</xdr:col>
      <xdr:colOff>981075</xdr:colOff>
      <xdr:row>24</xdr:row>
      <xdr:rowOff>390525</xdr:rowOff>
    </xdr:to>
    <xdr:pic>
      <xdr:nvPicPr>
        <xdr:cNvPr id="19" name="그림 122" descr="img0006">
          <a:extLst>
            <a:ext uri="{FF2B5EF4-FFF2-40B4-BE49-F238E27FC236}">
              <a16:creationId xmlns:a16="http://schemas.microsoft.com/office/drawing/2014/main" id="{456FA16A-8B34-4F47-A505-C32667AF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7496175"/>
          <a:ext cx="4191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981075</xdr:colOff>
      <xdr:row>23</xdr:row>
      <xdr:rowOff>95250</xdr:rowOff>
    </xdr:from>
    <xdr:to>
      <xdr:col>3</xdr:col>
      <xdr:colOff>1466850</xdr:colOff>
      <xdr:row>24</xdr:row>
      <xdr:rowOff>361950</xdr:rowOff>
    </xdr:to>
    <xdr:pic>
      <xdr:nvPicPr>
        <xdr:cNvPr id="20" name="그림 121" descr="img0007">
          <a:extLst>
            <a:ext uri="{FF2B5EF4-FFF2-40B4-BE49-F238E27FC236}">
              <a16:creationId xmlns:a16="http://schemas.microsoft.com/office/drawing/2014/main" id="{A0DAB895-AF59-4C5F-8A2E-8E49B6F24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5" y="7515225"/>
          <a:ext cx="4857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1269550</xdr:colOff>
      <xdr:row>0</xdr:row>
      <xdr:rowOff>134712</xdr:rowOff>
    </xdr:from>
    <xdr:to>
      <xdr:col>4</xdr:col>
      <xdr:colOff>231323</xdr:colOff>
      <xdr:row>3</xdr:row>
      <xdr:rowOff>13609</xdr:rowOff>
    </xdr:to>
    <xdr:sp macro="" textlink="">
      <xdr:nvSpPr>
        <xdr:cNvPr id="21" name="자유형 3">
          <a:extLst>
            <a:ext uri="{FF2B5EF4-FFF2-40B4-BE49-F238E27FC236}">
              <a16:creationId xmlns:a16="http://schemas.microsoft.com/office/drawing/2014/main" id="{F5E22964-FD26-40A5-9D95-E10286AD143B}"/>
            </a:ext>
          </a:extLst>
        </xdr:cNvPr>
        <xdr:cNvSpPr>
          <a:spLocks noChangeArrowheads="1"/>
        </xdr:cNvSpPr>
      </xdr:nvSpPr>
      <xdr:spPr bwMode="auto">
        <a:xfrm>
          <a:off x="1419229" y="134712"/>
          <a:ext cx="4200523" cy="491218"/>
        </a:xfrm>
        <a:custGeom>
          <a:avLst/>
          <a:gdLst>
            <a:gd name="T0" fmla="*/ 21600 w 21600"/>
            <a:gd name="T1" fmla="*/ 0 h 21600"/>
            <a:gd name="T2" fmla="*/ 21600 w 21600"/>
            <a:gd name="T3" fmla="*/ 21600 h 21600"/>
            <a:gd name="T4" fmla="*/ 0 w 21600"/>
            <a:gd name="T5" fmla="*/ 21600 h 21600"/>
            <a:gd name="T6" fmla="*/ 0 w 21600"/>
            <a:gd name="T7" fmla="*/ 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21600" h="21600">
              <a:moveTo>
                <a:pt x="2160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headEnd/>
          <a:tailEnd/>
        </a:ln>
        <a:effectLst>
          <a:outerShdw dist="53882" dir="2700000" algn="ctr" rotWithShape="0">
            <a:srgbClr val="808080"/>
          </a:outerShdw>
        </a:effectLst>
      </xdr:spPr>
      <xdr:txBody>
        <a:bodyPr rot="0" vert="horz" wrap="square" lIns="57150" tIns="66675" rIns="57150" bIns="66675" anchor="t" anchorCtr="0" upright="1">
          <a:noAutofit/>
        </a:bodyPr>
        <a:lstStyle/>
        <a:p>
          <a:pPr algn="ctr" fontAlgn="b" latinLnBrk="1">
            <a:lnSpc>
              <a:spcPct val="81000"/>
            </a:lnSpc>
            <a:spcAft>
              <a:spcPts val="0"/>
            </a:spcAft>
          </a:pPr>
          <a:r>
            <a:rPr lang="ko-KR" altLang="en-US" sz="2400" b="1" kern="100">
              <a:solidFill>
                <a:srgbClr val="000000"/>
              </a:solidFill>
              <a:effectLst/>
              <a:latin typeface="+mj-ea"/>
              <a:ea typeface="+mj-ea"/>
              <a:cs typeface="바탕"/>
            </a:rPr>
            <a:t>중량물 종류별 세부 내용</a:t>
          </a:r>
          <a:endParaRPr lang="ko-KR" sz="1200" b="1" kern="100">
            <a:effectLst/>
            <a:latin typeface="+mj-ea"/>
            <a:ea typeface="+mj-ea"/>
            <a:cs typeface="바탕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234763</xdr:colOff>
      <xdr:row>19</xdr:row>
      <xdr:rowOff>103094</xdr:rowOff>
    </xdr:from>
    <xdr:to>
      <xdr:col>11</xdr:col>
      <xdr:colOff>776328</xdr:colOff>
      <xdr:row>27</xdr:row>
      <xdr:rowOff>192666</xdr:rowOff>
    </xdr:to>
    <xdr:pic>
      <xdr:nvPicPr>
        <xdr:cNvPr id="2" name="그림 1" descr="11111111111111111111111111.PNG">
          <a:extLst>
            <a:ext uri="{FF2B5EF4-FFF2-40B4-BE49-F238E27FC236}">
              <a16:creationId xmlns:a16="http://schemas.microsoft.com/office/drawing/2014/main" id="{12D1CF45-6315-4E62-A68D-A9BDE514B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1413" y="3941669"/>
          <a:ext cx="1360715" cy="17659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4868;\&#50504;&#51204;&#54872;&#44221;&#50629;&#47924;\99&#49324;&#50629;\COST\&#51060;&#44305;&#44592;\INVEST\CCC\97&#45380;\97&#45380;&#49892;&#5120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amco\Documents%20and%20Settings\&#51060;&#49569;&#55148;.&#49569;&#55148;&#52980;\My%20Documents\&#49569;&#55148;&#47928;&#49436;\&#44553;&#50668;\WINDOWS\TEMP\&#44608;&#54952;&#50689;\&#50900;&#54788;&#54889;\&#54364;&#51456;&#47928;&#494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4868;\&#50504;&#51204;&#54872;&#44221;&#50629;&#47924;\HAREP\MONTH\H4A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AXLS\H4A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64;&#50865;\MY%20DOCUMENTS\&#51648;&#44277;\5\96\96&#51064;&#5089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6&#54788;&#51088;&#510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060;&#51008;&#50864;\&#51064;&#49324;\JP\&#44592;&#53440;\&#47928;&#49436;&#5057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44592;&#49892;2&#52264;&#48372;&#4425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1037\c\WINDOWS\TEMP\&#51649;&#51333;&#54408;99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88;&#47532;9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4868;\&#50504;&#51204;&#54872;&#44221;&#50629;&#47924;\bokking\2000&#49892;&#51201;\&#51064;&#50896;&#44228;&#5492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9688;&#48520;&#49552;&#51061;\9614\&#49688;&#48520;&#45236;&#49688;.1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52268;&#44216;\C\Plusware\&#47700;&#51068;&#48372;&#44288;&#54632;\&#52392;&#48512;&#54632;\&#51104;&#49892;%20&#51456;&#44277;&#48372;&#44256;&#49436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amco\Documents%20and%20Settings\&#44277;&#49324;&#44288;&#47532;\My%20Documents\&#48155;&#51008;%20&#54028;&#51068;\Documents%20and%20Settings\&#44277;&#49324;&#44288;&#47532;\My%20Documents\&#44277;&#49324;&#44288;&#47532;&#54016;\&#50577;&#49885;\&#51089;&#50629;&#51068;&#48372;&#51665;&#4422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4868;\&#50504;&#51204;&#54872;&#44221;&#50629;&#47924;\&#46972;&#51060;&#50616;&#53433;\&#49345;&#50857;TP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8373;&#46301;&#49688;\&#50773;\&#54801;&#47141;&#50629;&#52404;&#44228;&#50557;&#54408;&#51032;\&#50857;&#48708;\&#48376;&#44228;&#50557;&#44277;&#479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4868;\&#50504;&#51204;&#54872;&#44221;&#50629;&#47924;\WINDOWS\TEMP\&#44208;&#49328;90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DATAJUNG\DATA1\&#54032;&#44288;&#48708;\98&#45380;&#50696;&#49328;\&#51204;&#52404;&#50696;&#49328;\98&#54032;&#44288;&#48708;1&#522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73;&#46301;&#49688;\&#54801;&#47141;&#50629;&#52404;\My%20Documents\&#48373;&#46301;&#49688;\&#50773;\&#54801;&#47141;&#50629;&#52404;&#44228;&#50557;&#54408;&#51032;\&#50857;&#48708;\&#49849;-&#52980;&#54504;&#53552;&#49468;&#53552;&#49888;&#52629;(&#50857;&#48708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CPDC\&#44256;&#49457;&#50865;$\&#54924;&#51032;\My%20Documents\&#47588;&#52636;\98\&#47588;&#52636;9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LGC\&#49345;&#50857;\&#49345;&#44596;&#48393;&#5050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WINDOWS\TEMP\&#44608;&#54952;&#50689;\&#50900;&#54788;&#54889;\&#54364;&#51456;&#47928;&#4943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6&#51064;&#50896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1037\c\WINDOWS\&#48148;&#53461;%20&#54868;&#47732;\&#45236;%20&#49436;&#47448;%20&#44032;&#48169;\97&#44368;&#50977;&#44228;&#54925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4868;\&#50504;&#51204;&#54872;&#44221;&#50629;&#47924;\&#46972;&#51060;&#50616;&#53433;\&#49552;&#51061;&#48516;&#49437;\00&#49345;&#48152;&#44592;\Note&#49688;&#49888;\98&#45380;\&#47560;&#48513;&#51088;&#4730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345;&#50857;&#54016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4868;\&#50504;&#51204;&#54872;&#44221;&#50629;&#47924;\&#46972;&#51060;&#50616;&#53433;\HAREP\MONTH\H4A1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328;&#49892;\C\Documents%20and%20Settings\&#51060;&#49569;&#55148;.&#49569;&#55148;&#52980;\My%20Documents\&#49569;&#55148;&#47928;&#49436;\&#51064;&#49324;\DATAJUNG\DATA\&#54032;&#44288;&#48708;\98&#54032;&#44288;&#48708;\&#49892;&#51201;&#48516;&#49437;\98&#54032;&#44288;&#48708;3&#5226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AJung\C.C.C\9614&#44221;&#4870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Seol/&#50672;&#48393;&#51228;/99&#50672;&#48393;&#51228;/&#50672;&#48393;&#44228;&#49328;/&#49933;&#50857;&#44553;&#50668;&#8545;/&#49933;&#50857;&#44553;&#50668;DAT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4592;&#53440;\&#54801;&#51312;&#5120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ONGWON\SALARY\KYW1\&#54364;&#51456;&#47928;&#4943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76343\c\0&#44592;&#54925;\&#47928;&#49436;\&#54801;&#51312;&#51204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www\&#49324;&#50629;&#44228;&#54925;\97&#49324;&#5062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amco\Documents%20and%20Settings\&#44277;&#49324;&#44288;&#47532;\My%20Documents\&#48155;&#51008;%20&#54028;&#51068;\Documents%20and%20Settings\&#44277;&#49324;&#44288;&#47532;\My%20Documents\&#44277;&#49324;&#44288;&#47532;&#54016;\&#44592;&#49457;&#44288;&#47144;\&#51088;&#44552;&#52397;&#44396;62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B\2000\&#54217;&#44032;&#49849;&#51652;\&#51204;&#52636;&#51077;&#5108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51652;\&#44277;&#50976;\www\A7&#44288;&#47532;\BOOK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2292;&#50857;\2000&#44277;&#52292;\&#49436;&#47448;&#54633;&#44201;&#51064;&#5089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52380;\LGC\email\DATA\&#49345;&#50857;&#49688;&#50896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olgongso-ks\HDD1\Users\User\Desktop\38-2.%20&#51473;&#51109;&#48708;%20&#51089;&#50629;&#44228;&#54925;&#49436;%20(&#51204;&#51088;&#49324;&#45236;)%20r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2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BUS제원1"/>
      <sheetName val="상용"/>
      <sheetName val="#REF"/>
      <sheetName val="자체실적1Q"/>
      <sheetName val="1.POSITIONING"/>
      <sheetName val="p2-1"/>
      <sheetName val="MC&amp;다변화"/>
      <sheetName val="major"/>
      <sheetName val="항목(1)"/>
      <sheetName val="LD"/>
      <sheetName val="수지표"/>
      <sheetName val="셀명"/>
      <sheetName val="표지"/>
      <sheetName val="2007"/>
      <sheetName val="국영"/>
      <sheetName val="불량현상별END"/>
      <sheetName val="수입"/>
      <sheetName val="DATA-1"/>
      <sheetName val="95하U$가격"/>
      <sheetName val="PTR台손익"/>
      <sheetName val="갑지"/>
      <sheetName val="CLM-MP"/>
      <sheetName val="재료율"/>
      <sheetName val="성적갑"/>
      <sheetName val="부품LIST"/>
      <sheetName val="박두익"/>
      <sheetName val="RD제품개발투자비(매가)"/>
      <sheetName val="KD율"/>
      <sheetName val="품의서"/>
      <sheetName val="가동일보"/>
      <sheetName val="아중동 종합"/>
      <sheetName val="신규DEP"/>
      <sheetName val="출금실적"/>
      <sheetName val="협조전"/>
      <sheetName val="IS_R"/>
      <sheetName val="PS일계획"/>
      <sheetName val="주차(월별)"/>
      <sheetName val="SC(월별)"/>
      <sheetName val="효율계획(당월)"/>
      <sheetName val="전체실적"/>
      <sheetName val="ML"/>
      <sheetName val="2.외공문"/>
      <sheetName val="1~3월 지시사항"/>
      <sheetName val="총괄표"/>
      <sheetName val="DAT(목표)"/>
      <sheetName val="인원계획"/>
      <sheetName val="노무비집계"/>
      <sheetName val="노무비월별"/>
      <sheetName val="full (2)"/>
      <sheetName val="소유주(원)"/>
      <sheetName val="신1"/>
      <sheetName val="현금경비중역"/>
      <sheetName val="GRACE"/>
      <sheetName val="712"/>
      <sheetName val="95MAKER"/>
      <sheetName val="PPV"/>
      <sheetName val="경영현황"/>
      <sheetName val="64164"/>
      <sheetName val="DATE"/>
      <sheetName val="득점현황"/>
      <sheetName val="광주"/>
      <sheetName val="교육"/>
      <sheetName val="구로"/>
      <sheetName val="부품월별"/>
      <sheetName val="물류"/>
      <sheetName val="부마"/>
      <sheetName val="부판"/>
      <sheetName val="양산"/>
      <sheetName val="지원"/>
      <sheetName val="PILOT품"/>
      <sheetName val="M96현황-동아"/>
      <sheetName val="SPEC1"/>
      <sheetName val="05년판매계획"/>
      <sheetName val="05년선적계획"/>
      <sheetName val=" BOOST TV"/>
      <sheetName val="2.____"/>
      <sheetName val="카메라-지분"/>
      <sheetName val="계열사현황종합"/>
      <sheetName val="노임단가"/>
      <sheetName val="COVER"/>
      <sheetName val="울산시산표"/>
      <sheetName val="전체내역 (2)"/>
      <sheetName val="총괄내역서"/>
      <sheetName val="차종별"/>
      <sheetName val="월별손익"/>
      <sheetName val="5사남"/>
      <sheetName val="24.냉각실용添1"/>
      <sheetName val="08년"/>
      <sheetName val="Data"/>
      <sheetName val="W-현원가"/>
      <sheetName val="대공종"/>
      <sheetName val="TOT"/>
      <sheetName val="지출계획"/>
      <sheetName val="대외공문"/>
      <sheetName val="M1master"/>
      <sheetName val="RHD"/>
      <sheetName val="A-100전제"/>
      <sheetName val="QtrComp"/>
      <sheetName val="전공장2"/>
      <sheetName val="DI-ESTI"/>
      <sheetName val="자산_종합"/>
      <sheetName val="주행"/>
      <sheetName val="#1"/>
      <sheetName val="2.대왨공문"/>
      <sheetName val="업무분장"/>
      <sheetName val="수리결과"/>
      <sheetName val="MASTER"/>
      <sheetName val="DBL LPG시험"/>
      <sheetName val="TOEIC(최고)"/>
      <sheetName val="조건 (A)"/>
      <sheetName val="소상 &quot;1&quot;"/>
      <sheetName val="일위(PN)"/>
      <sheetName val="남양시작동자105노65기1.3화1.2"/>
      <sheetName val="파일2"/>
      <sheetName val="파일2 (2)"/>
      <sheetName val="파일2 (3)"/>
      <sheetName val="PC%계산"/>
      <sheetName val="제안서"/>
      <sheetName val="행정표준(1)"/>
      <sheetName val="행정표준(2)"/>
      <sheetName val="기계"/>
      <sheetName val="내역서을지"/>
      <sheetName val="BOOK4"/>
      <sheetName val="CNC810M"/>
      <sheetName val="작성양식"/>
      <sheetName val="품검자료"/>
      <sheetName val="6호기"/>
      <sheetName val="SHL"/>
      <sheetName val="N賃率-職"/>
      <sheetName val="CTEMCOST"/>
      <sheetName val="지역-가마감"/>
      <sheetName val="alc code"/>
      <sheetName val="진행 DATA (2)"/>
      <sheetName val="CAUDIT"/>
      <sheetName val="가동_x0002__x0000_"/>
      <sheetName val="7 (2)"/>
      <sheetName val="MAIN"/>
      <sheetName val="정비손익"/>
      <sheetName val="종합1"/>
      <sheetName val="IO LIST"/>
      <sheetName val="단가표"/>
      <sheetName val="TABLE DB"/>
      <sheetName val="쌍용 data base"/>
      <sheetName val="금액내역서"/>
      <sheetName val="장비"/>
      <sheetName val="노무"/>
      <sheetName val="송전기본"/>
      <sheetName val="JANG_DOM"/>
      <sheetName val="SANTAMO"/>
      <sheetName val="외화금융(97-03)"/>
      <sheetName val="직원신상"/>
      <sheetName val="존4"/>
      <sheetName val="XL4Poppy"/>
      <sheetName val="_REF"/>
      <sheetName val="RDLEVLST"/>
      <sheetName val="Worksheet"/>
      <sheetName val="Import"/>
      <sheetName val="국가별9903"/>
      <sheetName val="CVT산정"/>
      <sheetName val="01_SW"/>
      <sheetName val="계DATA"/>
      <sheetName val="사진"/>
      <sheetName val="P.M 별"/>
      <sheetName val="공평3"/>
      <sheetName val="공평7"/>
      <sheetName val="첨부6)CAPA분석표"/>
      <sheetName val="진도현황"/>
      <sheetName val="생산"/>
      <sheetName val="인원(라인별)"/>
      <sheetName val="RHN"/>
      <sheetName val="engline"/>
      <sheetName val="PRESUPUESTO VENTAS"/>
      <sheetName val="가동_x0002_?"/>
      <sheetName val="17.2 P&amp;L MKTg"/>
      <sheetName val="분석"/>
      <sheetName val="Segments"/>
      <sheetName val="예가표"/>
      <sheetName val="TUAS"/>
      <sheetName val="완성차"/>
      <sheetName val="기초"/>
      <sheetName val="내수1.8GL"/>
      <sheetName val="물류최종8월7"/>
      <sheetName val="전문품의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체실적1Q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정공공사"/>
      <sheetName val="표준문서"/>
      <sheetName val="항목(1)"/>
      <sheetName val="BOOK4"/>
      <sheetName val="조건 (A)"/>
      <sheetName val="#REF"/>
      <sheetName val="샘플표지"/>
      <sheetName val="계정"/>
      <sheetName val="DATA"/>
      <sheetName val="영업.일1"/>
      <sheetName val="입찰안"/>
      <sheetName val="6호기"/>
      <sheetName val="업무분장"/>
      <sheetName val="1.기안지"/>
      <sheetName val="Sheet2"/>
      <sheetName val="Sheet1"/>
      <sheetName val="1.기안을지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  <sheetName val="회의록 (을)"/>
      <sheetName val="2_대외공문"/>
      <sheetName val="단위수량"/>
      <sheetName val="가시설수량"/>
      <sheetName val="출금실적"/>
      <sheetName val="데이타"/>
      <sheetName val="식재인부"/>
      <sheetName val="단면 (2)"/>
      <sheetName val="남양시작동자105노65기1.3화1.2"/>
      <sheetName val="노임이"/>
      <sheetName val="원가계산서"/>
      <sheetName val="일위대가"/>
      <sheetName val="Total"/>
      <sheetName val="전문품의"/>
      <sheetName val="건축내역"/>
      <sheetName val="해외"/>
      <sheetName val="대외공문"/>
      <sheetName val="파이프류"/>
      <sheetName val="2000년1차"/>
      <sheetName val="도"/>
      <sheetName val="XL4Poppy"/>
      <sheetName val="소방"/>
      <sheetName val="Sensitivity"/>
      <sheetName val="교대시점"/>
      <sheetName val="울산시산표"/>
      <sheetName val="을"/>
      <sheetName val="보할최종(준공)only"/>
      <sheetName val="가설"/>
      <sheetName val="10.문서처리 (2)"/>
      <sheetName val="선급비용"/>
      <sheetName val="집계표"/>
      <sheetName val="도급"/>
      <sheetName val="인부신상자료"/>
      <sheetName val="SULKEA"/>
      <sheetName val="총괄표"/>
      <sheetName val="입력"/>
      <sheetName val="차량별점검"/>
      <sheetName val="이자율"/>
      <sheetName val="식당동(010424)"/>
      <sheetName val="기본단가표"/>
      <sheetName val="수량산출서"/>
      <sheetName val="개산공사비"/>
      <sheetName val="갑지"/>
      <sheetName val="일위(PN)"/>
      <sheetName val="인제내역"/>
      <sheetName val="투자-국내2"/>
      <sheetName val="품의서(TL)"/>
      <sheetName val="BID"/>
      <sheetName val="단가"/>
      <sheetName val="품"/>
      <sheetName val="남양구조시험동"/>
      <sheetName val="ASCEandUBC"/>
      <sheetName val="가정"/>
      <sheetName val="중기조종사 단위단가"/>
      <sheetName val="경비"/>
      <sheetName val="코드"/>
      <sheetName val="일위대가목차"/>
      <sheetName val="기계경비(시간당)"/>
      <sheetName val="램머"/>
      <sheetName val="투찰(하수)"/>
      <sheetName val="DATA(VTL)"/>
      <sheetName val="교사기준면적(초등)"/>
      <sheetName val="전입"/>
      <sheetName val="내역서을지"/>
      <sheetName val="APT"/>
      <sheetName val="계수시트"/>
      <sheetName val="설계예시"/>
      <sheetName val="남양시작동010313100%"/>
      <sheetName val="자가2급"/>
      <sheetName val="NYS"/>
      <sheetName val="옹벽기초자료"/>
      <sheetName val="현황산출서"/>
      <sheetName val="실행철강하도"/>
      <sheetName val="조건"/>
      <sheetName val="B-III"/>
      <sheetName val="020114"/>
      <sheetName val="0111월"/>
      <sheetName val="월별손익"/>
      <sheetName val="5사남"/>
      <sheetName val="TABLE DB"/>
      <sheetName val="쌍용 data base"/>
      <sheetName val="비품"/>
      <sheetName val="CALENDAR"/>
      <sheetName val="차수"/>
      <sheetName val="교수설계"/>
      <sheetName val="수입"/>
      <sheetName val="Summary by type of CIP"/>
      <sheetName val="CIP transfer to FA"/>
      <sheetName val="220 (2)"/>
      <sheetName val="JUM"/>
      <sheetName val="월별수입"/>
      <sheetName val="품의서P1"/>
      <sheetName val="품의서P2"/>
      <sheetName val="발송의뢰서"/>
      <sheetName val="회람"/>
      <sheetName val="문서색인표"/>
      <sheetName val="이관문서목록표"/>
      <sheetName val="폐기문서목록표"/>
      <sheetName val="문서수발"/>
      <sheetName val="시행문"/>
      <sheetName val="발송인"/>
      <sheetName val="간행물관리"/>
      <sheetName val="문서목록"/>
      <sheetName val="열람증"/>
      <sheetName val="재종"/>
      <sheetName val="품셈TABLE"/>
      <sheetName val="대차"/>
      <sheetName val="협조전"/>
      <sheetName val="98지급계획"/>
      <sheetName val="문서처리"/>
      <sheetName val="2_대외공문1"/>
      <sheetName val="원가총괄"/>
      <sheetName val="96수출"/>
      <sheetName val="경비공통"/>
      <sheetName val="15"/>
      <sheetName val="구동"/>
      <sheetName val="토공사(흙막이)"/>
      <sheetName val="DATE"/>
      <sheetName val="ANALYSER"/>
      <sheetName val="경제지표"/>
      <sheetName val="세금자료"/>
      <sheetName val="98비정기소모"/>
      <sheetName val="지수"/>
      <sheetName val="간이연락"/>
      <sheetName val="안전관리비갑지"/>
      <sheetName val="건축집계"/>
      <sheetName val="내역"/>
      <sheetName val="P-산#1-1(WOWA1)"/>
      <sheetName val="소개"/>
      <sheetName val="토공집계표"/>
      <sheetName val="골조"/>
      <sheetName val="9-1차이내역"/>
      <sheetName val="G.R300경비"/>
      <sheetName val="전체"/>
      <sheetName val="공량산출서"/>
      <sheetName val="계열사현황종합"/>
      <sheetName val="현장관리비 산출내역"/>
      <sheetName val="차액보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/>
      <sheetData sheetId="140" refreshError="1"/>
      <sheetData sheetId="141" refreshError="1"/>
      <sheetData sheetId="142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주식"/>
      <sheetName val="외주현황.wq1"/>
      <sheetName val="항목(1)"/>
      <sheetName val="TCA"/>
      <sheetName val="1월"/>
      <sheetName val="#REF"/>
      <sheetName val="MIJIBI"/>
      <sheetName val="major"/>
      <sheetName val="공식방문지"/>
      <sheetName val="H4A11"/>
      <sheetName val="p2-1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2.대외공문"/>
      <sheetName val="96수출"/>
      <sheetName val="계정"/>
      <sheetName val="울산시산표"/>
      <sheetName val="TABLE DB"/>
      <sheetName val="쌍용 data base"/>
      <sheetName val="3"/>
      <sheetName val="수입"/>
      <sheetName val="소상 &quot;1&quot;"/>
      <sheetName val="HISYEARSALE"/>
      <sheetName val="업무계획1"/>
      <sheetName val="지점장"/>
      <sheetName val="JUM"/>
      <sheetName val="전부인쇄"/>
      <sheetName val="¼ö¸®°á°ú"/>
      <sheetName val="Data"/>
      <sheetName val="단가"/>
      <sheetName val="총괄표"/>
      <sheetName val="신규DEP"/>
      <sheetName val="인원01"/>
      <sheetName val="노무비"/>
      <sheetName val="내역서(총)"/>
      <sheetName val="5사남"/>
      <sheetName val="0000"/>
      <sheetName val="인사자료총집계"/>
      <sheetName val="남양시작동010313100%"/>
      <sheetName val="N賃率-職"/>
      <sheetName val="차액보증"/>
      <sheetName val="6호기"/>
      <sheetName val="소개"/>
      <sheetName val="간이연락"/>
      <sheetName val="차량별점검"/>
      <sheetName val="해외"/>
      <sheetName val="95하U$가격"/>
      <sheetName val="요율"/>
      <sheetName val="자재대"/>
      <sheetName val="TIE-IN"/>
      <sheetName val="PI"/>
      <sheetName val="Baby일위대가"/>
      <sheetName val="대비"/>
      <sheetName val="제안서"/>
      <sheetName val="행정표준(1)"/>
      <sheetName val="행정표준(2)"/>
      <sheetName val="집계표"/>
      <sheetName val="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Sheet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공사명입력"/>
      <sheetName val="근로자자료입력"/>
      <sheetName val="참고자료"/>
      <sheetName val="갑지1"/>
      <sheetName val="외주현황.wq1"/>
      <sheetName val="0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영업.일1"/>
      <sheetName val="업무"/>
      <sheetName val="2.대외공문"/>
      <sheetName val="FORM-0"/>
      <sheetName val="CONCRETE"/>
      <sheetName val="SG"/>
      <sheetName val="단면 (2)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수입"/>
      <sheetName val="분납 2"/>
      <sheetName val="SAM (2)"/>
      <sheetName val="갑지(추정)"/>
      <sheetName val="임_x0002__x0000_蘠t_x0000__x0000__x0001_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조건 (A)"/>
      <sheetName val="DATE"/>
      <sheetName val="일괄인쇄"/>
      <sheetName val="임_x005f_x0002__x005f_x0000_蘠t_x005f_x0000__x005f_x0000_"/>
      <sheetName val="시험장S자로가로등공사"/>
      <sheetName val="대비표"/>
      <sheetName val="총괄표"/>
      <sheetName val="전체내역 (2)"/>
      <sheetName val="관람석제출"/>
      <sheetName val="을"/>
      <sheetName val="임_x005f_x005f_x005f_x0002__x005f_x005f_x005f_x0000_蘠t_x"/>
      <sheetName val="월별수입"/>
      <sheetName val="업무계획1"/>
      <sheetName val="일위대가"/>
      <sheetName val="임_x0002_"/>
      <sheetName val="차수"/>
      <sheetName val="세목별"/>
      <sheetName val="일위대가표"/>
      <sheetName val="차종별"/>
      <sheetName val="임_x005f_x005f_x005f_x005f_x005f_x005f_x005f_x0002__x005"/>
      <sheetName val="임_x005f_x0002_"/>
      <sheetName val="98지급계획"/>
      <sheetName val="임_x0002_?蘠t??_x0001_"/>
      <sheetName val="소화실적"/>
      <sheetName val="예산대비"/>
      <sheetName val="부하(성남)"/>
      <sheetName val="[업무.XLS塅䕃⹌塅E9월"/>
      <sheetName val="9"/>
      <sheetName val="10상"/>
      <sheetName val="남양시작동010313100%"/>
      <sheetName val="DRUM"/>
      <sheetName val="SKETCH"/>
      <sheetName val="금액내역서"/>
      <sheetName val="Ring"/>
      <sheetName val="매립"/>
      <sheetName val="12월 기타"/>
      <sheetName val="배수공"/>
      <sheetName val="간지"/>
      <sheetName val="3분기"/>
      <sheetName val="CAUDIT"/>
      <sheetName val="제안서"/>
      <sheetName val="행정표준(1)"/>
      <sheetName val="행정표준(2)"/>
      <sheetName val="금융비용"/>
      <sheetName val="石油類"/>
      <sheetName val="_REF"/>
      <sheetName val="시행내역서(1공구-참조)"/>
      <sheetName val="2014년 표준단가"/>
      <sheetName val="96수출"/>
      <sheetName val="5.단면설계"/>
      <sheetName val="날개벽(시점좌측)"/>
      <sheetName val="설계조건"/>
      <sheetName val="1공구"/>
      <sheetName val="2공구"/>
      <sheetName val="부속동"/>
      <sheetName val="임_x005f_x005f_x005f_x005f_x005f_x005f_x005f_x005f_x005f"/>
      <sheetName val="임_x005f_x005f_x005f_x0002_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기안지"/>
      <sheetName val="총괄표"/>
      <sheetName val="항목(1)"/>
      <sheetName val="BOOK4"/>
      <sheetName val="실행철강하도"/>
      <sheetName val="712"/>
      <sheetName val="전문품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TOT"/>
    </sheetNames>
    <sheetDataSet>
      <sheetData sheetId="0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종합매출"/>
      <sheetName val="투자 "/>
      <sheetName val="인력계획"/>
      <sheetName val="월별매출"/>
      <sheetName val="판매"/>
      <sheetName val="보매"/>
      <sheetName val="신설"/>
      <sheetName val="증설"/>
      <sheetName val="판증"/>
      <sheetName val="전산"/>
      <sheetName val="기예"/>
      <sheetName val="보예"/>
      <sheetName val="보교"/>
      <sheetName val="기교"/>
      <sheetName val="기확"/>
      <sheetName val="보활"/>
      <sheetName val="기술활"/>
      <sheetName val="판인"/>
      <sheetName val="판촉수요"/>
      <sheetName val="세인력"/>
      <sheetName val="건의"/>
      <sheetName val="손익"/>
      <sheetName val="인력계획2"/>
      <sheetName val="기활"/>
      <sheetName val="승용"/>
      <sheetName val="신규DEP"/>
      <sheetName val="2.대외공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문품의"/>
      <sheetName val="직종품991"/>
      <sheetName val="원가계산서"/>
      <sheetName val="영업.일1"/>
      <sheetName val="일위대가표"/>
      <sheetName val="Sheet1"/>
      <sheetName val="협조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내수 (2)"/>
      <sheetName val="96내수"/>
      <sheetName val="96수출"/>
      <sheetName val="RES"/>
      <sheetName val="96__"/>
      <sheetName val="지역본부별 실적"/>
      <sheetName val="거점별"/>
      <sheetName val="지점-대리점"/>
      <sheetName val="back-data"/>
      <sheetName val="(2)"/>
      <sheetName val="협조전"/>
      <sheetName val="관람석제출"/>
      <sheetName val="변경내용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Sheet1"/>
      <sheetName val="Sheet2"/>
      <sheetName val="Sheet3"/>
      <sheetName val="ML"/>
      <sheetName val="TOT"/>
      <sheetName val="TCA"/>
      <sheetName val="세목별"/>
      <sheetName val="3BL공동구 수량"/>
      <sheetName val="type-F"/>
      <sheetName val="내역(자100%,노100%)기아화성UD동"/>
      <sheetName val="관리96"/>
      <sheetName val="2.대외공문"/>
      <sheetName val="#REF"/>
      <sheetName val="공통비"/>
      <sheetName val="일지-H"/>
      <sheetName val="TEL"/>
      <sheetName val="신고서.전"/>
      <sheetName val="정부노임단가"/>
      <sheetName val="계정"/>
      <sheetName val="CVT산정"/>
      <sheetName val="전체현황"/>
      <sheetName val="추가 종합"/>
      <sheetName val="기계"/>
      <sheetName val="지사"/>
      <sheetName val="구동"/>
      <sheetName val="부대대비"/>
      <sheetName val="냉연집계"/>
      <sheetName val="A-4"/>
      <sheetName val="항목(1)"/>
      <sheetName val=" 견적서"/>
      <sheetName val="주소(한문)"/>
      <sheetName val="견적990322"/>
      <sheetName val="총괄표"/>
      <sheetName val="대외공문"/>
      <sheetName val="99경비"/>
      <sheetName val="소상 &quot;1&quot;"/>
      <sheetName val="유통망계획"/>
      <sheetName val="차액보증"/>
      <sheetName val="full (2)"/>
      <sheetName val="PTR台손익"/>
      <sheetName val="2COMPO_TABLE"/>
      <sheetName val="수입"/>
      <sheetName val="마북 손익분석(CATIA)"/>
      <sheetName val="설산1.나"/>
      <sheetName val="본사S"/>
      <sheetName val="BID"/>
      <sheetName val="차수"/>
      <sheetName val="일위대가목차"/>
      <sheetName val="예산계획"/>
      <sheetName val="95내수_(2)"/>
      <sheetName val="지역본부별_실적"/>
      <sheetName val="3BL공동구_수량"/>
      <sheetName val="2_대외공문"/>
      <sheetName val="신고서_전"/>
      <sheetName val="기초"/>
      <sheetName val="DATA(BAC)"/>
      <sheetName val="입찰안"/>
      <sheetName val="차량별점검"/>
      <sheetName val="수리결과"/>
      <sheetName val="BUS제원1"/>
      <sheetName val="95계획"/>
      <sheetName val="FRECEFECBAILEYS"/>
      <sheetName val="해외"/>
      <sheetName val="입력"/>
      <sheetName val="전문품의"/>
      <sheetName val="영업.일1"/>
      <sheetName val="MOTOR"/>
      <sheetName val="경비공통"/>
      <sheetName val="5.경상직원"/>
      <sheetName val="1ST"/>
      <sheetName val="갑지(추정)"/>
      <sheetName val="종목코드"/>
      <sheetName val="G703"/>
      <sheetName val="3"/>
      <sheetName val="선급비용"/>
      <sheetName val="95내수_(2)1"/>
      <sheetName val="지역본부별_실적1"/>
      <sheetName val="3BL공동구_수량1"/>
      <sheetName val="2_대외공문1"/>
      <sheetName val="신고서_전1"/>
      <sheetName val="추가_종합"/>
      <sheetName val="_견적서"/>
      <sheetName val="소상_&quot;1&quot;"/>
      <sheetName val="full_(2)"/>
      <sheetName val="마북_손익분석(CATIA)"/>
      <sheetName val="설산1_나"/>
      <sheetName val="P.M 별"/>
      <sheetName val="RD제품개발투자비(매가)"/>
      <sheetName val="데이타"/>
      <sheetName val="DATA"/>
      <sheetName val="공통부대비"/>
      <sheetName val="차잆금상환"/>
      <sheetName val="소유주(원)"/>
      <sheetName val="현금경비중역"/>
      <sheetName val="F4-F7"/>
      <sheetName val="1.변경범위"/>
      <sheetName val="을지"/>
      <sheetName val="건축원가계산서"/>
      <sheetName val="공구기구"/>
      <sheetName val="간이연락"/>
      <sheetName val="내역서"/>
      <sheetName val="#2.현지인_급여T"/>
      <sheetName val="실행철강하도"/>
      <sheetName val="보고FLOW"/>
      <sheetName val="집계표"/>
      <sheetName val="자재선정"/>
      <sheetName val="3련 BOX"/>
      <sheetName val="FRT_O"/>
      <sheetName val="FAB_I"/>
      <sheetName val="경비2내역"/>
      <sheetName val="가공비"/>
      <sheetName val="CAUDIT"/>
      <sheetName val="Performance Rate"/>
      <sheetName val="상반기경분통보"/>
      <sheetName val="Equipment"/>
      <sheetName val="TL,Termination"/>
      <sheetName val="Cable,Conduit"/>
      <sheetName val="Instrument"/>
      <sheetName val="기계내역"/>
      <sheetName val="PRESS DATA"/>
      <sheetName val="I.설계조건"/>
      <sheetName val="UNIT"/>
      <sheetName val="Breakdown sum"/>
      <sheetName val="도급양식"/>
      <sheetName val="서울AS지역"/>
      <sheetName val="강평자료"/>
      <sheetName val="항목_1_"/>
      <sheetName val="선정요령"/>
      <sheetName val="부하계산서"/>
      <sheetName val="Macro(전기)"/>
      <sheetName val="총괄"/>
      <sheetName val="일위대가표"/>
      <sheetName val="준검 내역서"/>
      <sheetName val="조건 (A)"/>
      <sheetName val="조명시설"/>
      <sheetName val="Total"/>
      <sheetName val="업무분장"/>
      <sheetName val="BF106_완"/>
      <sheetName val="원가"/>
      <sheetName val="계열사현황종합"/>
      <sheetName val="개별스왑명세표"/>
      <sheetName val="cap01"/>
      <sheetName val="외화금융(97-03)"/>
      <sheetName val="May."/>
      <sheetName val="June."/>
      <sheetName val="Quotation(Mar.01.09~)"/>
      <sheetName val="간접경상비"/>
      <sheetName val="물량표"/>
      <sheetName val="Timesheet"/>
      <sheetName val="일위대가"/>
      <sheetName val="DWPM"/>
      <sheetName val="물량표(신)"/>
      <sheetName val="6호기"/>
      <sheetName val="갑지"/>
      <sheetName val="설계조건"/>
      <sheetName val="93상각비"/>
      <sheetName val="3사분기"/>
      <sheetName val="재무가정"/>
      <sheetName val="Sheet14"/>
      <sheetName val="Sheet1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계"/>
      <sheetName val="문서"/>
      <sheetName val="95실"/>
      <sheetName val="인원01"/>
      <sheetName val="96수출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 밋션별 &quot;1&quot;"/>
      <sheetName val="승용 밋션별 &quot;2&quot;"/>
      <sheetName val="승용 밋션별 &quot;3&quot;"/>
      <sheetName val="소상 &quot;1&quot;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수불내수"/>
      <sheetName val="COPING"/>
      <sheetName val="96수출"/>
      <sheetName val="인원01"/>
      <sheetName val="협조전"/>
      <sheetName val="#REF"/>
      <sheetName val="내역1"/>
      <sheetName val="p2-1"/>
      <sheetName val="Key assumption"/>
      <sheetName val="정부노임단가"/>
      <sheetName val="품의양식"/>
      <sheetName val="3BL공동구 수량"/>
      <sheetName val="남양시작동자105노65기1.3화1.2"/>
      <sheetName val="관람석제출"/>
      <sheetName val="총괄표"/>
      <sheetName val="TEL"/>
      <sheetName val="정보(MCC)"/>
      <sheetName val="정보(HEI)"/>
      <sheetName val="major"/>
      <sheetName val="울산시산표"/>
      <sheetName val="0.1 KEY ASSUMPTIONS"/>
      <sheetName val="0. CONTROL"/>
      <sheetName val="자압"/>
      <sheetName val="unit cost Bauteil 1"/>
      <sheetName val="unit cost Bauteil 2"/>
      <sheetName val="unit cost Bauteil 3"/>
      <sheetName val="unit cost Bauteil 4"/>
      <sheetName val="unit cost Bauteil 5"/>
      <sheetName val="회의비등"/>
      <sheetName val="핸드폰"/>
      <sheetName val="당숙직"/>
      <sheetName val="영수증1"/>
      <sheetName val="영수증2"/>
      <sheetName val="명단"/>
      <sheetName val="TOT"/>
      <sheetName val="계열사현황종합"/>
      <sheetName val="94반성(Pnck)"/>
      <sheetName val="신1"/>
      <sheetName val="일별1"/>
      <sheetName val="JUCK"/>
      <sheetName val="MOTOR"/>
      <sheetName val="Macro2"/>
      <sheetName val="자압1"/>
      <sheetName val="2.대외공문"/>
      <sheetName val="TABLE DB"/>
      <sheetName val="쌍용 data base"/>
      <sheetName val="종기계획(월별)"/>
      <sheetName val="일반"/>
      <sheetName val="payroll"/>
      <sheetName val="VALVE"/>
      <sheetName val="매입세율"/>
      <sheetName val="공사개요"/>
      <sheetName val="Total"/>
      <sheetName val="GRACE"/>
      <sheetName val="구동"/>
      <sheetName val="공통(20-91)"/>
      <sheetName val="중기사용료"/>
      <sheetName val="현장지지물물량"/>
      <sheetName val="기안지"/>
      <sheetName val="내역서"/>
      <sheetName val="SANTAMO"/>
      <sheetName val="Sheet4"/>
      <sheetName val="계정"/>
      <sheetName val="승용_밋션별_&quot;1&quot;"/>
      <sheetName val="승용_밋션별_&quot;2&quot;"/>
      <sheetName val="승용_밋션별_&quot;3&quot;"/>
      <sheetName val="소상_&quot;1&quot;"/>
      <sheetName val="특근_간담회비"/>
      <sheetName val="교통비_(2)"/>
      <sheetName val="전표철_(2)"/>
      <sheetName val="Key_assumption"/>
      <sheetName val="3BL공동구_수량"/>
      <sheetName val="남양시작동자105노65기1_3화1_2"/>
      <sheetName val="0_1_KEY_ASSUMPTIONS"/>
      <sheetName val="0__CONTROL"/>
      <sheetName val="DAT(목표)"/>
      <sheetName val="출장거리"/>
      <sheetName val="본문"/>
      <sheetName val="대외공문"/>
      <sheetName val="세목별"/>
      <sheetName val="Cost bd-&quot;A&quot;"/>
      <sheetName val="BID"/>
      <sheetName val="월별수입"/>
      <sheetName val="전문품의"/>
      <sheetName val="MFAB"/>
      <sheetName val="MFRT"/>
      <sheetName val="MPKG"/>
      <sheetName val="MPRD"/>
      <sheetName val="산출내역서"/>
      <sheetName val="CONCRETE"/>
      <sheetName val="우각부보강"/>
      <sheetName val="조도계산서 (도서)"/>
      <sheetName val="공통비"/>
      <sheetName val="중장기판매계획"/>
      <sheetName val="세부추진"/>
      <sheetName val="상용보강"/>
      <sheetName val="수리결과"/>
      <sheetName val="플랜트 설치"/>
      <sheetName val="차량별점검"/>
      <sheetName val="수입"/>
      <sheetName val="2F 회의실견적(5_14 일대)"/>
      <sheetName val="95MAKER"/>
      <sheetName val="일괄인쇄"/>
      <sheetName val="DATE"/>
      <sheetName val="참고"/>
      <sheetName val="ML"/>
      <sheetName val="충주"/>
      <sheetName val="견적990322"/>
      <sheetName val="1-1"/>
      <sheetName val="차수"/>
      <sheetName val="입력"/>
      <sheetName val="승용_밋션별_&quot;1&quot;1"/>
      <sheetName val="승용_밋션별_&quot;2&quot;1"/>
      <sheetName val="승용_밋션별_&quot;3&quot;1"/>
      <sheetName val="소상_&quot;1&quot;1"/>
      <sheetName val="특근_간담회비1"/>
      <sheetName val="교통비_(2)1"/>
      <sheetName val="전표철_(2)1"/>
      <sheetName val="Key_assumption1"/>
      <sheetName val="3BL공동구_수량1"/>
      <sheetName val="남양시작동자105노65기1_3화1_21"/>
      <sheetName val="0_1_KEY_ASSUMPTIONS1"/>
      <sheetName val="0__CONTROL1"/>
      <sheetName val="unit_cost_Bauteil_1"/>
      <sheetName val="unit_cost_Bauteil_2"/>
      <sheetName val="unit_cost_Bauteil_3"/>
      <sheetName val="unit_cost_Bauteil_4"/>
      <sheetName val="unit_cost_Bauteil_5"/>
      <sheetName val="TABLE_DB"/>
      <sheetName val="쌍용_data_base"/>
      <sheetName val="2_대외공문"/>
      <sheetName val="Cost_bd-&quot;A&quot;"/>
      <sheetName val="조도계산서_(도서)"/>
      <sheetName val="베네"/>
      <sheetName val="98지급계획"/>
      <sheetName val="001"/>
      <sheetName val="전체현황"/>
      <sheetName val="특별교실"/>
      <sheetName val="부하계산서"/>
      <sheetName val="일위대가"/>
      <sheetName val="물량표"/>
      <sheetName val="KD율"/>
      <sheetName val="노무비"/>
      <sheetName val="BEAM"/>
      <sheetName val="배수공 주요자재 집계표"/>
      <sheetName val="선정요령"/>
      <sheetName val="가격정보"/>
      <sheetName val="8.특성항목"/>
      <sheetName val="콘크리트타설집계표"/>
      <sheetName val="1월"/>
      <sheetName val="구의33고"/>
      <sheetName val="bi"/>
      <sheetName val="공문"/>
      <sheetName val="공통부대비"/>
      <sheetName val="지보1_98"/>
      <sheetName val="COMPRESSOR"/>
      <sheetName val="Instruction"/>
      <sheetName val="다이꾸"/>
      <sheetName val="WIND-EQ"/>
      <sheetName val="Data&amp;Result"/>
      <sheetName val="A"/>
      <sheetName val="입력정보"/>
      <sheetName val="Data &amp; Result"/>
      <sheetName val="실행대비"/>
      <sheetName val="설산1.나"/>
      <sheetName val="본사S"/>
      <sheetName val="차액보증"/>
      <sheetName val="BSD (2)"/>
      <sheetName val="h-013211-2"/>
      <sheetName val="BQ(실행)"/>
      <sheetName val="투찰"/>
      <sheetName val="Y-WORK"/>
      <sheetName val="내역서비교"/>
      <sheetName val="5.모델링"/>
      <sheetName val="실행철강하도"/>
      <sheetName val="터널조도"/>
      <sheetName val="노임"/>
      <sheetName val="인수공규격"/>
      <sheetName val="개요"/>
      <sheetName val="산출"/>
      <sheetName val="자재관리"/>
      <sheetName val="바닥판"/>
      <sheetName val="전제"/>
      <sheetName val="생산"/>
      <sheetName val="차종별"/>
      <sheetName val="PumpSpec"/>
      <sheetName val="Macro(차단기)"/>
      <sheetName val="전력구구조물산근2구간"/>
      <sheetName val="SPM(13.84)"/>
      <sheetName val="Benutzungshinweise"/>
      <sheetName val="95하U$가격"/>
      <sheetName val="매입세"/>
      <sheetName val="할증 "/>
      <sheetName val="TMMAN"/>
      <sheetName val="운행일지"/>
      <sheetName val="부대대비"/>
      <sheetName val="냉연집계"/>
      <sheetName val="WBS"/>
      <sheetName val="날개벽수량표"/>
      <sheetName val="EJ"/>
      <sheetName val="부하LOAD"/>
      <sheetName val="Macro(전동기)"/>
      <sheetName val="준검 내역서"/>
      <sheetName val="INCOME"/>
      <sheetName val="COVER"/>
      <sheetName val="D=700"/>
      <sheetName val="c_balju"/>
      <sheetName val="카렌스센터계량기설치공사"/>
      <sheetName val="재무현황"/>
      <sheetName val="개별스왑명세표"/>
      <sheetName val="설계서(7)"/>
      <sheetName val="평균환율-USD"/>
      <sheetName val="총괄"/>
      <sheetName val="YES"/>
      <sheetName val="조정금액결과표 (차수별)"/>
      <sheetName val="Graph (LGEN)"/>
      <sheetName val="out_prog"/>
      <sheetName val="선적schedule (2)"/>
      <sheetName val="지급자재"/>
      <sheetName val="3련 BOX"/>
      <sheetName val="WORK-VOL"/>
      <sheetName val="CALCULATION"/>
      <sheetName val="건축원가"/>
      <sheetName val="전체내역 (2)"/>
      <sheetName val="조명시설"/>
      <sheetName val="간접"/>
      <sheetName val="9-1차이내역"/>
      <sheetName val="우수맨홀공제단위수량"/>
      <sheetName val="사진"/>
      <sheetName val="정공공사"/>
      <sheetName val="적정심사"/>
      <sheetName val="단가"/>
      <sheetName val="선로수량집계"/>
      <sheetName val="장비수량집계"/>
      <sheetName val="지장수량집계"/>
      <sheetName val="N賃率-職"/>
      <sheetName val="PBX"/>
      <sheetName val="Recording,Phone,Headset"/>
      <sheetName val="DATA1"/>
      <sheetName val="Macro1"/>
      <sheetName val="WORK"/>
      <sheetName val="전력구구조물산근"/>
      <sheetName val="1공구(을)"/>
      <sheetName val="업무분장"/>
      <sheetName val="dongia (2)"/>
      <sheetName val="업체별기성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소표지"/>
      <sheetName val="전경사진  (3)"/>
      <sheetName val="공사개요 "/>
      <sheetName val="배치도"/>
      <sheetName val="조직도 "/>
      <sheetName val="업무분장표 (2)"/>
      <sheetName val="본사유관부서 "/>
      <sheetName val="계획공정및실행공정"/>
      <sheetName val="공정분석 (잠실)"/>
      <sheetName val="공정분석"/>
      <sheetName val="보할공정표(잠실) "/>
      <sheetName val="보할공정표2"/>
      <sheetName val="청산분석"/>
      <sheetName val="공통가설시행증감내역"/>
      <sheetName val="주요절감및초과분내역"/>
      <sheetName val="주요기능공인력투입현황  (2)"/>
      <sheetName val="주요기능공인력투입현황(잠실) "/>
      <sheetName val="인력투입분석현황 (2)"/>
      <sheetName val="인력투입분석"/>
      <sheetName val="공사착,준공관련사항 (2)"/>
      <sheetName val="착준공사항"/>
      <sheetName val="공종별주요공사완료일지"/>
      <sheetName val="공사계획,시행결과 분석 (2)"/>
      <sheetName val="분석1"/>
      <sheetName val="특수공법(잠실)"/>
      <sheetName val="공법개선"/>
      <sheetName val="민원현황"/>
      <sheetName val="민원"/>
      <sheetName val="특기사항 (잠실)"/>
      <sheetName val="특기사항"/>
      <sheetName val="준공세대별점검LIST  (2)"/>
      <sheetName val="협력업체(잠실)"/>
      <sheetName val="마감자재및재고현황 (2)"/>
      <sheetName val="설계도서 분석 (2)"/>
      <sheetName val="건의사항 "/>
      <sheetName val="조건 (A)"/>
      <sheetName val="지질조사"/>
      <sheetName val="소상 &quot;1&quot;"/>
      <sheetName val="총괄표"/>
      <sheetName val="잠실 준공보고서1"/>
      <sheetName val="변품8-37"/>
      <sheetName val="예산서"/>
      <sheetName val="연습장소"/>
      <sheetName val="시험장S자로가로등공사"/>
      <sheetName val="남양시작동010313100%"/>
      <sheetName val="실행철강하도"/>
      <sheetName val="계정"/>
      <sheetName val="new급여T(4을-운전)"/>
      <sheetName val="98지급계획"/>
      <sheetName val="부대대비"/>
      <sheetName val="냉연집계"/>
      <sheetName val="GRACE"/>
      <sheetName val="전체내역 (2)"/>
      <sheetName val="공조실PAD"/>
      <sheetName val="가설"/>
      <sheetName val="철콘(을)"/>
      <sheetName val="1층기계기초"/>
      <sheetName val="내역서"/>
      <sheetName val="전경사진__(3)"/>
      <sheetName val="공사개요_"/>
      <sheetName val="조직도_"/>
      <sheetName val="업무분장표_(2)"/>
      <sheetName val="본사유관부서_"/>
      <sheetName val="공정분석_(잠실)"/>
      <sheetName val="보할공정표(잠실)_"/>
      <sheetName val="주요기능공인력투입현황__(2)"/>
      <sheetName val="주요기능공인력투입현황(잠실)_"/>
      <sheetName val="인력투입분석현황_(2)"/>
      <sheetName val="공사착,준공관련사항_(2)"/>
      <sheetName val="공사계획,시행결과_분석_(2)"/>
      <sheetName val="특기사항_(잠실)"/>
      <sheetName val="준공세대별점검LIST__(2)"/>
      <sheetName val="마감자재및재고현황_(2)"/>
      <sheetName val="설계도서_분석_(2)"/>
      <sheetName val="건의사항_"/>
      <sheetName val="조건_(A)"/>
      <sheetName val="잠실_준공보고서1"/>
      <sheetName val="소상_&quot;1&quot;"/>
      <sheetName val="세부추진"/>
      <sheetName val="상용보강"/>
      <sheetName val="2.대외공문"/>
      <sheetName val="Macro1"/>
      <sheetName val="산출내역서"/>
      <sheetName val="TOT"/>
      <sheetName val="영업소실적"/>
      <sheetName val="협조전"/>
      <sheetName val="Total"/>
      <sheetName val="Sheet1 (2)"/>
      <sheetName val="인원01"/>
      <sheetName val="차수"/>
      <sheetName val="차액보증"/>
      <sheetName val="터널조도"/>
      <sheetName val="우각부보강"/>
      <sheetName val="조건"/>
      <sheetName val="BS"/>
      <sheetName val="Sheet4"/>
      <sheetName val="대공종"/>
      <sheetName val="96수출"/>
      <sheetName val="전력구구조물산근2구간"/>
      <sheetName val="Sheet3"/>
      <sheetName val="단가비교표"/>
      <sheetName val="특별교실"/>
      <sheetName val="MOTOR"/>
      <sheetName val="입찰안"/>
      <sheetName val="입사시직위"/>
      <sheetName val="수안보-MBR1"/>
      <sheetName val="NOMUBI"/>
      <sheetName val="sw1"/>
      <sheetName val="관람석제출"/>
      <sheetName val="TABLE DB"/>
      <sheetName val="쌍용 data base"/>
      <sheetName val="95MAK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"/>
      <sheetName val="Sheet1 (2)"/>
      <sheetName val="1"/>
      <sheetName val="2"/>
      <sheetName val="3"/>
      <sheetName val="집계"/>
      <sheetName val="파이프류"/>
      <sheetName val="인부신상자료"/>
      <sheetName val="2.대외공문"/>
      <sheetName val="#REF"/>
      <sheetName val="집계표"/>
      <sheetName val="세부추진"/>
      <sheetName val="상용보강"/>
      <sheetName val="실행내역"/>
      <sheetName val="작업일보집계"/>
      <sheetName val="카렌스센터계량기설치공사"/>
      <sheetName val="대외공문"/>
      <sheetName val="총괄표"/>
      <sheetName val="퍼스트"/>
      <sheetName val="원가계산서"/>
      <sheetName val="DATE"/>
      <sheetName val="BID"/>
      <sheetName val="9-1차이내역"/>
      <sheetName val="약품공급2"/>
      <sheetName val="일위대가표"/>
      <sheetName val="재무제표"/>
      <sheetName val="TABLE"/>
      <sheetName val="SHL"/>
      <sheetName val="자재단가비교표"/>
      <sheetName val="개인별급여명세서"/>
      <sheetName val="SAM"/>
      <sheetName val="계열사현황종합"/>
      <sheetName val="단가산출"/>
      <sheetName val="6. 안전관리비"/>
      <sheetName val="건장설비"/>
      <sheetName val="대공종"/>
      <sheetName val="예산총괄"/>
      <sheetName val="Sheet1_(2)"/>
      <sheetName val="2_대외공문"/>
      <sheetName val="영업.일1"/>
      <sheetName val="BOOK4"/>
      <sheetName val="입찰안"/>
      <sheetName val="선정요령"/>
      <sheetName val="작성방법"/>
      <sheetName val="TOT"/>
      <sheetName val="일위대가"/>
      <sheetName val="내역서을지"/>
      <sheetName val="전산품의"/>
      <sheetName val="을"/>
      <sheetName val="VXXXXXXX"/>
      <sheetName val="산출내역서"/>
      <sheetName val="전문품의"/>
      <sheetName val="실행철강하도"/>
      <sheetName val="자재"/>
      <sheetName val="전기"/>
      <sheetName val="2공구산출내역"/>
      <sheetName val="근로자자료입력"/>
      <sheetName val="참고자료"/>
      <sheetName val="정보LIST"/>
      <sheetName val="노임"/>
      <sheetName val="실행"/>
      <sheetName val="일일총괄"/>
      <sheetName val="WING3"/>
      <sheetName val="직접비"/>
      <sheetName val="유림총괄"/>
      <sheetName val="신대방33(적용)"/>
      <sheetName val="주차구획선수량"/>
      <sheetName val="대비표(토공1안)"/>
      <sheetName val="5.경상직원"/>
      <sheetName val="sheet1"/>
      <sheetName val="98지급계획"/>
      <sheetName val="1,2공구원가계산서"/>
      <sheetName val="1공구산출내역서"/>
      <sheetName val="상반기손익차2총괄"/>
      <sheetName val="날개벽수량표"/>
      <sheetName val="프랜트면허"/>
      <sheetName val="토목주소"/>
      <sheetName val=" HIT-&gt;HMC 견적(3900)"/>
      <sheetName val="내역"/>
      <sheetName val="코드표"/>
      <sheetName val="물류최종8월7"/>
      <sheetName val="수입"/>
      <sheetName val="을 2"/>
      <sheetName val="을 1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험장S자로가로등공사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립"/>
      <sheetName val="컴퓨터"/>
      <sheetName val="조립본계약"/>
      <sheetName val="대공종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울산시산표"/>
      <sheetName val="2.대외공문"/>
    </sheetNames>
    <sheetDataSet>
      <sheetData sheetId="0">
        <row r="2">
          <cell r="G2" t="str">
            <v>차변</v>
          </cell>
        </row>
      </sheetData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계획조정"/>
      <sheetName val="981차조정"/>
      <sheetName val="피벗테이블"/>
      <sheetName val="지시안"/>
      <sheetName val="요약"/>
      <sheetName val="총괄1"/>
      <sheetName val="총괄1-1"/>
      <sheetName val="총괄2"/>
      <sheetName val="총괄2-1"/>
      <sheetName val="임금동결시"/>
      <sheetName val="98세목별"/>
      <sheetName val="용역수수료내역"/>
      <sheetName val="Sheet1"/>
      <sheetName val="비통제세부"/>
      <sheetName val="1억이상"/>
      <sheetName val="5천이상"/>
      <sheetName val="임금인원"/>
      <sheetName val="계정"/>
      <sheetName val="준검 내역서"/>
      <sheetName val="2.대외공문"/>
      <sheetName val="울산시산표"/>
      <sheetName val="철강수급"/>
      <sheetName val="소상 &quot;1&quot;"/>
      <sheetName val="대공종"/>
      <sheetName val="TIE-IN"/>
      <sheetName val="남양시작동010313100%"/>
      <sheetName val="MatchCode"/>
      <sheetName val="남양시작동자105노65기1.3화1.2"/>
      <sheetName val="조건 (A)"/>
      <sheetName val="일위(PN)"/>
      <sheetName val="CTEMCOST"/>
      <sheetName val="플랜트 설치"/>
      <sheetName val="Price List"/>
      <sheetName val="A"/>
      <sheetName val="준검_내역서"/>
      <sheetName val="2_대외공문"/>
      <sheetName val="소상_&quot;1&quot;"/>
      <sheetName val="Price_List"/>
      <sheetName val="직원수당"/>
      <sheetName val="XL4Poppy"/>
      <sheetName val="Sheet5"/>
      <sheetName val="UNIT"/>
      <sheetName val="실행"/>
      <sheetName val="동해title"/>
      <sheetName val="2000전체분"/>
      <sheetName val="2000년1차"/>
      <sheetName val="98판관비1차"/>
      <sheetName val="설비비"/>
      <sheetName val="현장지지물물량"/>
      <sheetName val="전문품의"/>
      <sheetName val="SG"/>
      <sheetName val="협조전"/>
      <sheetName val="주요공사"/>
      <sheetName val="위치조서"/>
      <sheetName val="S0"/>
      <sheetName val="인부신상자료"/>
      <sheetName val="전체내역 (2)"/>
      <sheetName val="수압집계"/>
      <sheetName val="PIPE내역(FCN)"/>
      <sheetName val="시험장S자로가로등공사"/>
      <sheetName val="견적조건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컴퓨터동 (2)"/>
      <sheetName val="당초계약 (4)"/>
      <sheetName val="2.대외공문"/>
    </sheetNames>
    <sheetDataSet>
      <sheetData sheetId="0"/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기안"/>
      <sheetName val="98기안(2)"/>
      <sheetName val="9801(기본)"/>
      <sheetName val="9801(운영)"/>
      <sheetName val="9802(기본)"/>
      <sheetName val="9802(기본)2"/>
      <sheetName val="9802(운영)"/>
      <sheetName val="9803(기본)"/>
      <sheetName val="9803(운영)"/>
      <sheetName val="회의매출"/>
      <sheetName val="Sheet1"/>
      <sheetName val="Sheet2"/>
      <sheetName val="Sheet3"/>
      <sheetName val="9805(기본)"/>
      <sheetName val="#REF"/>
      <sheetName val="2.대외공문"/>
      <sheetName val="자체실적1Q"/>
      <sheetName val="말뚝지지력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계정"/>
      <sheetName val="Tot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건축내역"/>
      <sheetName val="계정"/>
      <sheetName val="해외"/>
      <sheetName val="대외공문"/>
      <sheetName val="파이프류"/>
      <sheetName val="2000년1차"/>
      <sheetName val="도"/>
      <sheetName val="XL4Poppy"/>
      <sheetName val="집계표"/>
      <sheetName val="노임이"/>
      <sheetName val="내역"/>
      <sheetName val="인부신상자료"/>
      <sheetName val="총괄표"/>
      <sheetName val="입력"/>
      <sheetName val="차량별점검"/>
      <sheetName val="이자율"/>
      <sheetName val="1.기안지"/>
      <sheetName val="Sheet2"/>
      <sheetName val="Sheet1"/>
      <sheetName val="1.기안을지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  <sheetName val="회의록 (을)"/>
      <sheetName val="P-산#1-1(WOWA1)"/>
      <sheetName val="도급"/>
      <sheetName val="DATA"/>
      <sheetName val="SULKEA"/>
      <sheetName val="식당동(010424)"/>
      <sheetName val="기본단가표"/>
      <sheetName val="코드"/>
      <sheetName val="표준문서"/>
      <sheetName val="일위대가목차"/>
      <sheetName val="#REF"/>
      <sheetName val="중기조종사 단위단가"/>
      <sheetName val="2_대외공문"/>
      <sheetName val="남양구조시험동"/>
      <sheetName val="경비"/>
      <sheetName val="기계경비(시간당)"/>
      <sheetName val="램머"/>
      <sheetName val="투찰(하수)"/>
      <sheetName val="DATA(VTL)"/>
      <sheetName val="교사기준면적(초등)"/>
      <sheetName val="APT"/>
      <sheetName val="98지급계획"/>
      <sheetName val="내역서을지"/>
      <sheetName val="단중표-ST"/>
      <sheetName val="정공공사"/>
      <sheetName val="조건 (A)"/>
      <sheetName val="샘플표지"/>
      <sheetName val="영업.일1"/>
      <sheetName val="6호기"/>
      <sheetName val="전문품의"/>
      <sheetName val="옹벽기초자료"/>
      <sheetName val="현황산출서"/>
      <sheetName val="NYS"/>
      <sheetName val="전입"/>
      <sheetName val="소개"/>
      <sheetName val="작성"/>
      <sheetName val="울산시산표"/>
      <sheetName val="토공집계표"/>
      <sheetName val="대공종"/>
      <sheetName val="공사명입력"/>
      <sheetName val="근로자자료입력"/>
      <sheetName val="참고자료"/>
      <sheetName val="원가data"/>
      <sheetName val="건축내역서"/>
      <sheetName val="설비내역서"/>
      <sheetName val="전기내역서"/>
      <sheetName val="건축집계"/>
      <sheetName val="주요공사"/>
      <sheetName val="C3"/>
      <sheetName val="투자-국내2"/>
      <sheetName val="품의서(TL)"/>
      <sheetName val="입찰안"/>
      <sheetName val="항목(1)"/>
      <sheetName val="BOOK4"/>
      <sheetName val="업무분장"/>
      <sheetName val="데이타"/>
      <sheetName val="식재인부"/>
      <sheetName val="단면 (2)"/>
      <sheetName val="남양시작동자105노65기1.3화1.2"/>
      <sheetName val="출금실적"/>
      <sheetName val="원가계산서"/>
      <sheetName val="연결임시"/>
      <sheetName val="계수시트"/>
      <sheetName val="수량산출서"/>
      <sheetName val="실행철강하도"/>
      <sheetName val="10.문서처리 (2)"/>
      <sheetName val="월별수입"/>
      <sheetName val="품의서P1"/>
      <sheetName val="품의서P2"/>
      <sheetName val="발송의뢰서"/>
      <sheetName val="회람"/>
      <sheetName val="문서색인표"/>
      <sheetName val="이관문서목록표"/>
      <sheetName val="폐기문서목록표"/>
      <sheetName val="문서수발"/>
      <sheetName val="시행문"/>
      <sheetName val="발송인"/>
      <sheetName val="간행물관리"/>
      <sheetName val="문서목록"/>
      <sheetName val="열람증"/>
      <sheetName val="재종"/>
      <sheetName val="품셈TABLE"/>
      <sheetName val="TABLE DB"/>
      <sheetName val="쌍용 data base"/>
      <sheetName val="문서처리"/>
      <sheetName val="협조전"/>
      <sheetName val="간이연락"/>
      <sheetName val="2_대외공문1"/>
      <sheetName val="원가총괄"/>
      <sheetName val="9-1차이내역"/>
      <sheetName val="단위수량"/>
      <sheetName val="가시설수량"/>
      <sheetName val="G.R300경비"/>
      <sheetName val="전체"/>
      <sheetName val="B-III"/>
      <sheetName val="020114"/>
      <sheetName val="0111월"/>
      <sheetName val="월별손익"/>
      <sheetName val="5사남"/>
      <sheetName val="비품"/>
      <sheetName val="가정"/>
      <sheetName val="공량산출서"/>
      <sheetName val="BID"/>
      <sheetName val="일위(PN)"/>
      <sheetName val="수입"/>
      <sheetName val="계열사현황종합"/>
      <sheetName val="CALENDAR"/>
      <sheetName val="차수"/>
      <sheetName val="선급비용"/>
      <sheetName val="교수설계"/>
      <sheetName val="Summary by type of CIP"/>
      <sheetName val="CIP transfer to FA"/>
      <sheetName val="220 (2)"/>
      <sheetName val="JUM"/>
      <sheetName val="대차"/>
      <sheetName val="소방"/>
      <sheetName val="차액보증"/>
      <sheetName val="준검 내역서"/>
      <sheetName val="일위대가표"/>
      <sheetName val="코드표"/>
      <sheetName val="불출요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MAKER"/>
      <sheetName val="96인원판단 (2)"/>
      <sheetName val="96인원(2)"/>
      <sheetName val="경쟁비교2"/>
      <sheetName val="수리결과"/>
      <sheetName val="#REF"/>
      <sheetName val="내역서"/>
      <sheetName val="남양시작동자105노65기1.3화1.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교육계획"/>
      <sheetName val="전문품의"/>
      <sheetName val="95MAKER"/>
      <sheetName val="남양시작동자105노65기1.3화1.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마북자료"/>
      <sheetName val="95MAKER"/>
    </sheetNames>
    <definedNames>
      <definedName name="매크로4"/>
      <definedName name="매크로5"/>
    </defined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95하U$가격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년종합"/>
      <sheetName val="10월 현황"/>
      <sheetName val="11월현황"/>
      <sheetName val="종합현황"/>
      <sheetName val="종합"/>
      <sheetName val="수리결과"/>
      <sheetName val="소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계획조정"/>
      <sheetName val="항목"/>
      <sheetName val="세목"/>
      <sheetName val="98 3차조정 "/>
      <sheetName val="98 3차운영계획"/>
      <sheetName val="98 2차조정"/>
      <sheetName val="추가반영분"/>
      <sheetName val="추가미반영분"/>
      <sheetName val="계정"/>
      <sheetName val="수리결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 t="str">
            <v>851-06</v>
          </cell>
        </row>
      </sheetData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남양시작동자105노65기1.3화1.2"/>
      <sheetName val="INPUT"/>
      <sheetName val="총괄표"/>
      <sheetName val="계정"/>
      <sheetName val="영수증1"/>
      <sheetName val="영수증2"/>
      <sheetName val="분기별전표철"/>
      <sheetName val="HP1AMLIST"/>
      <sheetName val="#REF"/>
      <sheetName val="2.대외공문"/>
      <sheetName val="공사비예산서(토목분)"/>
      <sheetName val="전표첀 (2)"/>
      <sheetName val="교통대책내역"/>
      <sheetName val="간선계산"/>
      <sheetName val="실행(1)"/>
      <sheetName val="협조전"/>
      <sheetName val="카렌스센터계량기설치공사"/>
      <sheetName val="지역본부별 실적"/>
      <sheetName val="거점별"/>
      <sheetName val="지점-대리점"/>
      <sheetName val="back-data"/>
      <sheetName val="소상 &quot;1&quot;"/>
      <sheetName val="SEMI"/>
      <sheetName val="남양시작동01031310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DB"/>
      <sheetName val="쌍용 data base"/>
      <sheetName val="쌍용급여DATA"/>
      <sheetName val="전입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  <sheetName val="내역"/>
      <sheetName val="type-F"/>
      <sheetName val="갑지"/>
      <sheetName val="우편발송료"/>
      <sheetName val="-금액"/>
      <sheetName val="전산소모품"/>
      <sheetName val="-프린터보유현황"/>
      <sheetName val="수선비"/>
      <sheetName val="난방비"/>
      <sheetName val="출장비"/>
      <sheetName val="-출장비내역"/>
      <sheetName val="판촉회의비"/>
      <sheetName val="기타"/>
      <sheetName val="본사신청인지대"/>
      <sheetName val="-작성법"/>
      <sheetName val="지역본부별 실적"/>
      <sheetName val="거점별"/>
      <sheetName val="지점-대리점"/>
      <sheetName val="back-data"/>
      <sheetName val="TOT"/>
      <sheetName val="금액내역서"/>
      <sheetName val="예산계획"/>
      <sheetName val="#REF"/>
      <sheetName val="정부노임단가"/>
      <sheetName val="제품별110계"/>
      <sheetName val="전기"/>
      <sheetName val="2.대외공문"/>
      <sheetName val="대공종"/>
      <sheetName val="입찰안"/>
      <sheetName val="내역서(총)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인지대"/>
      <sheetName val="Sheet2"/>
      <sheetName val="Sheet3"/>
      <sheetName val="Sheet1"/>
      <sheetName val="출고증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남양시작동자105노65기1.3화1.2"/>
      <sheetName val="보증"/>
      <sheetName val="97센_협"/>
      <sheetName val="5.세운W-A"/>
      <sheetName val="총괄표"/>
      <sheetName val="현장관리비 산출내역"/>
      <sheetName val="일위대가"/>
      <sheetName val="TABLE DB"/>
      <sheetName val="쌍용 data base"/>
      <sheetName val="0000"/>
      <sheetName val="조건변경"/>
      <sheetName val="완성검사증"/>
      <sheetName val="면세서류"/>
      <sheetName val="선반납"/>
      <sheetName val="신갈-반납"/>
      <sheetName val="협조전1"/>
      <sheetName val="3차조건변경"/>
      <sheetName val="매출취소"/>
      <sheetName val="4차조건변경"/>
      <sheetName val="기일연장"/>
      <sheetName val="변경내용"/>
      <sheetName val="계정"/>
      <sheetName val="MASTER_IPL"/>
      <sheetName val="hvac(제어동)"/>
      <sheetName val="내역(자100%,노100%)기아화성UD동"/>
      <sheetName val="9-1차이내역"/>
      <sheetName val="대비"/>
      <sheetName val="견적서"/>
      <sheetName val="2.1COGS_소주"/>
      <sheetName val="본부소개"/>
      <sheetName val="DBL LPG시험"/>
      <sheetName val="자구계획db"/>
      <sheetName val="직노"/>
      <sheetName val="일위대가목차"/>
      <sheetName val="조건 (A)"/>
      <sheetName val="견적990322"/>
      <sheetName val="pivot monthly"/>
      <sheetName val="이자비용 (2)"/>
      <sheetName val="FD"/>
      <sheetName val="LD"/>
      <sheetName val="영업.일1"/>
      <sheetName val="3BL공동구 수량"/>
      <sheetName val="수입"/>
      <sheetName val="집계표"/>
      <sheetName val="개시대사 (2)"/>
      <sheetName val="경상비내역"/>
      <sheetName val="설계조건"/>
      <sheetName val="b_balju_cho"/>
      <sheetName val="국내조달(영상,시계,위성)"/>
      <sheetName val="국내조달(무선)"/>
      <sheetName val="GRACE"/>
      <sheetName val="OPT손익 내수"/>
      <sheetName val="OPT손익 수출"/>
      <sheetName val="HP1AMLIST"/>
      <sheetName val="매크로"/>
      <sheetName val="eq_data"/>
      <sheetName val="96년대비"/>
      <sheetName val="99경비"/>
      <sheetName val="조건"/>
      <sheetName val="내역서"/>
      <sheetName val="현금경비중역"/>
      <sheetName val="유첨#2"/>
      <sheetName val="major"/>
      <sheetName val="①MT"/>
      <sheetName val="Total"/>
      <sheetName val="전기일위대가"/>
      <sheetName val="손익분석"/>
      <sheetName val="PumpSpec"/>
      <sheetName val="영업소실적"/>
      <sheetName val="지역본부별_실적"/>
      <sheetName val="2_대외공문"/>
      <sheetName val="남양시작동자105노65기1_3화1_2"/>
      <sheetName val="5_세운W-A"/>
      <sheetName val="현장관리비_산출내역"/>
      <sheetName val="계약ITEM"/>
      <sheetName val="Angebot18.7."/>
      <sheetName val="Hyundai.Unit.cost.xls"/>
      <sheetName val="TRIM-Y3"/>
      <sheetName val="FRECEFECBAILEYS"/>
      <sheetName val="BSD (2)"/>
      <sheetName val="매출부문"/>
      <sheetName val="Y-WORK"/>
      <sheetName val="일위대가표"/>
      <sheetName val="전문품의"/>
      <sheetName val="COPING"/>
      <sheetName val="DATA"/>
      <sheetName val="말뚝지지력산정"/>
      <sheetName val="TB"/>
      <sheetName val="소개"/>
      <sheetName val="기숙사본건물도급내역"/>
      <sheetName val="969910( R)"/>
      <sheetName val="DATE"/>
      <sheetName val="노임"/>
      <sheetName val="98지급계획"/>
      <sheetName val="6PILE  (돌출)"/>
      <sheetName val="세부추진"/>
      <sheetName val="상용보강"/>
      <sheetName val="UNSTEADY"/>
      <sheetName val="guard(mac)"/>
      <sheetName val="차량별점검"/>
      <sheetName val="갑지(추정)"/>
      <sheetName val="DATA(BAC)"/>
      <sheetName val="관음목장(제출용)자105인97.5"/>
      <sheetName val="M1"/>
      <sheetName val="일반관리비"/>
      <sheetName val="의장34반"/>
      <sheetName val="의장2반 "/>
      <sheetName val="조경"/>
      <sheetName val="UNIT"/>
      <sheetName val="터파기및재료"/>
      <sheetName val="물량표S"/>
      <sheetName val="파이프류"/>
      <sheetName val="Macro1"/>
      <sheetName val="월별손익"/>
      <sheetName val="시험장S자로가로등공사"/>
      <sheetName val="TB12"/>
      <sheetName val="차수"/>
      <sheetName val="INPUT"/>
      <sheetName val="COVER"/>
      <sheetName val="SALE&amp;COST"/>
      <sheetName val="인사자료총집계"/>
      <sheetName val="공통가설"/>
      <sheetName val="1월"/>
      <sheetName val="SG"/>
      <sheetName val="관람석제출"/>
      <sheetName val="Calcs"/>
      <sheetName val="CAUDIT"/>
      <sheetName val="종목코드"/>
      <sheetName val="List1"/>
      <sheetName val="원단위"/>
      <sheetName val="노원열병합  건축공사기성내역서"/>
      <sheetName val="AP1"/>
      <sheetName val="캐스코(CRANE)_DwgList"/>
      <sheetName val="1.설계조건"/>
      <sheetName val="협조전 (39)"/>
      <sheetName val="협조전 (42)"/>
      <sheetName val="양식"/>
      <sheetName val="협조전 (41)"/>
      <sheetName val="수출실적양식"/>
      <sheetName val="협조전 (36)"/>
      <sheetName val="협조전 (40)"/>
      <sheetName val="협조전 (13)"/>
      <sheetName val="양식 (2)"/>
      <sheetName val="송금계획 (2)"/>
      <sheetName val="협조전 (20)"/>
      <sheetName val="송금계획"/>
      <sheetName val="협조전 (23)"/>
      <sheetName val="협조전 (25)"/>
      <sheetName val="협조전 (31)"/>
      <sheetName val="협조전 (37)"/>
      <sheetName val="직무내역최종"/>
      <sheetName val="협조전 (45)"/>
      <sheetName val="협조전 (48)"/>
      <sheetName val="협조전 (58)"/>
      <sheetName val="협조전 (59)"/>
      <sheetName val="협조전 (57)"/>
      <sheetName val="협조전 (60)"/>
      <sheetName val="협조전`(59)"/>
      <sheetName val="회사99"/>
      <sheetName val="예산총괄"/>
      <sheetName val="인부신상자료"/>
      <sheetName val=""/>
      <sheetName val="CVT산정"/>
      <sheetName val="지역-가마감"/>
      <sheetName val="pre"/>
      <sheetName val="다목적갑"/>
      <sheetName val="단가산출1"/>
      <sheetName val="전체현황"/>
      <sheetName val="한계원가"/>
      <sheetName val="교각1"/>
      <sheetName val="총체보활공정표"/>
      <sheetName val="시멘트"/>
      <sheetName val="세목별"/>
      <sheetName val="calcul"/>
      <sheetName val="F4-F7"/>
      <sheetName val="인건비"/>
      <sheetName val="ELEC_DCI"/>
      <sheetName val="INST_DCI"/>
      <sheetName val="REINF."/>
      <sheetName val="SKETCH"/>
      <sheetName val="LOADS"/>
      <sheetName val="Tender Summary"/>
      <sheetName val="공사내역"/>
      <sheetName val="부대대비"/>
      <sheetName val="냉연집계"/>
      <sheetName val="3.현장배치"/>
      <sheetName val="소속순"/>
      <sheetName val="실행철강하도"/>
      <sheetName val="dia chi"/>
      <sheetName val="loan0006"/>
      <sheetName val="95하U$가격"/>
      <sheetName val="전체"/>
      <sheetName val="급여"/>
      <sheetName val="CALENDAR"/>
      <sheetName val="2_대외공문1"/>
      <sheetName val="협조전_(39)"/>
      <sheetName val="협조전_(42)"/>
      <sheetName val="협조전_(41)"/>
      <sheetName val="협조전_(36)"/>
      <sheetName val="협조전_(40)"/>
      <sheetName val="협조전_(13)"/>
      <sheetName val="양식_(2)"/>
      <sheetName val="송금계획_(2)"/>
      <sheetName val="협조전_(20)"/>
      <sheetName val="협조전_(23)"/>
      <sheetName val="협조전_(25)"/>
      <sheetName val="협조전_(31)"/>
      <sheetName val="협조전_(37)"/>
      <sheetName val="협조전_(45)"/>
      <sheetName val="협조전_(48)"/>
      <sheetName val="협조전_(58)"/>
      <sheetName val="협조전_(59)"/>
      <sheetName val="협조전_(57)"/>
      <sheetName val="협조전_(60)"/>
      <sheetName val="신규DEP"/>
      <sheetName val="96수출"/>
      <sheetName val="실행대비"/>
      <sheetName val="sm"/>
      <sheetName val="초임연봉"/>
      <sheetName val="RD제품개발투자비(매가)"/>
      <sheetName val="근로자자료입력"/>
      <sheetName val="참고자료"/>
      <sheetName val="1단계"/>
      <sheetName val="과제"/>
      <sheetName val="환율"/>
      <sheetName val="업무분장"/>
      <sheetName val="토목"/>
      <sheetName val="ACTDATA"/>
      <sheetName val="여과지동"/>
      <sheetName val="기초자료"/>
      <sheetName val="예산서"/>
      <sheetName val="1,2공구원가계산서"/>
      <sheetName val="2공구산출내역"/>
      <sheetName val="1공구산출내역서"/>
      <sheetName val="인원계획"/>
      <sheetName val="#REF!"/>
      <sheetName val="전입"/>
      <sheetName val="I.설계조건"/>
      <sheetName val="BANGKEXUAT"/>
      <sheetName val="조명시설"/>
      <sheetName val="xxxxxx"/>
      <sheetName val="KD율"/>
      <sheetName val="Budget"/>
      <sheetName val="계열사현황종합"/>
      <sheetName val="콘크리트타설집계표"/>
      <sheetName val="대외공문"/>
      <sheetName val="2COMPO_TABLE"/>
      <sheetName val="간접"/>
      <sheetName val="TEL"/>
      <sheetName val="A-4"/>
      <sheetName val="건축내역"/>
      <sheetName val="FOB발"/>
      <sheetName val="설비"/>
      <sheetName val="수량산출서"/>
      <sheetName val="POL6차-PIPING"/>
      <sheetName val="개요"/>
      <sheetName val="도"/>
      <sheetName val="1.우편집중내역서"/>
      <sheetName val="danga"/>
      <sheetName val="ilch"/>
      <sheetName val="단가대비"/>
      <sheetName val="BID"/>
      <sheetName val="-15.0"/>
      <sheetName val="ELECTRIC"/>
      <sheetName val="200309퇴직추계"/>
      <sheetName val="본사현황"/>
      <sheetName val="97계획(96.11"/>
      <sheetName val="토공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전문품의"/>
    </sheetNames>
    <sheetDataSet>
      <sheetData sheetId="0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협조전 (39)"/>
      <sheetName val="협조전 (42)"/>
      <sheetName val="양식"/>
      <sheetName val="협조전 (41)"/>
      <sheetName val="수출실적양식"/>
      <sheetName val="Sheet3"/>
      <sheetName val="협조전 (36)"/>
      <sheetName val="협조전 (40)"/>
      <sheetName val="협조전 (13)"/>
      <sheetName val="양식 (2)"/>
      <sheetName val="송금계획 (2)"/>
      <sheetName val="협조전 (20)"/>
      <sheetName val="송금계획"/>
      <sheetName val="협조전 (23)"/>
      <sheetName val="협조전 (25)"/>
      <sheetName val="Sheet2"/>
      <sheetName val="협조전 (31)"/>
      <sheetName val="협조전 (37)"/>
      <sheetName val="직무내역최종"/>
      <sheetName val="협조전 (45)"/>
      <sheetName val="협조전 (48)"/>
      <sheetName val="협조전 (58)"/>
      <sheetName val="협조전 (59)"/>
      <sheetName val="협조전 (57)"/>
      <sheetName val="협조전 (60)"/>
      <sheetName val="Sheet1"/>
      <sheetName val="2_대외공문"/>
      <sheetName val="협조전`(59)"/>
      <sheetName val="협조전"/>
      <sheetName val="회사99"/>
      <sheetName val="갑지"/>
      <sheetName val="예산총괄"/>
      <sheetName val="인부신상자료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협조전"/>
      <sheetName val="ﶀ문인원"/>
      <sheetName val="제안서"/>
      <sheetName val="행정표준(1)"/>
      <sheetName val="행정표준(2)"/>
      <sheetName val="실행철강하도"/>
      <sheetName val="2.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외주비"/>
      <sheetName val="외주비기성결과 (2)"/>
      <sheetName val="외주비기성결과"/>
      <sheetName val="협력사출면집계표"/>
      <sheetName val="표지1"/>
      <sheetName val="직영표지"/>
      <sheetName val="직영공사비"/>
      <sheetName val="예비비정산서"/>
      <sheetName val="직영공사청구서"/>
      <sheetName val="안전관리비"/>
      <sheetName val="기성청구현황"/>
      <sheetName val="노무비 사용 내역"/>
      <sheetName val="자재 구입대장"/>
      <sheetName val="중기가동일보"/>
      <sheetName val="경비 사용내역"/>
      <sheetName val="안전관리비 사용내역"/>
      <sheetName val="현장관리비"/>
      <sheetName val="3"/>
      <sheetName val="지출품의서"/>
      <sheetName val="Sheet1"/>
      <sheetName val="내역 (2002.06)"/>
      <sheetName val="실행(1)"/>
      <sheetName val="지질조사"/>
      <sheetName val="입력"/>
      <sheetName val="#REF"/>
      <sheetName val="2.대외공문"/>
      <sheetName val="98지급계획"/>
      <sheetName val="투자-국내2"/>
      <sheetName val="인부신상자료"/>
      <sheetName val="대공종"/>
      <sheetName val="원가계산서"/>
      <sheetName val="factor"/>
      <sheetName val="교통대책내역"/>
      <sheetName val="건축내역"/>
      <sheetName val="Y-WORK"/>
      <sheetName val="내역"/>
      <sheetName val=" HIT-&gt;HMC 견적(3900)"/>
      <sheetName val="외주비기성결과_(2)"/>
      <sheetName val="노무비_사용_내역"/>
      <sheetName val="자재_구입대장"/>
      <sheetName val="경비_사용내역"/>
      <sheetName val="안전관리비_사용내역"/>
      <sheetName val="내역_(2002_06)"/>
      <sheetName val="2_대외공문"/>
      <sheetName val="계정"/>
      <sheetName val="세부추진"/>
      <sheetName val="상용보강"/>
      <sheetName val="공사비산출내역"/>
      <sheetName val="자금청구628"/>
      <sheetName val="추가예산"/>
      <sheetName val="95하U$가격"/>
      <sheetName val="4.전기"/>
      <sheetName val="직노"/>
      <sheetName val="작성방법"/>
      <sheetName val="1.취수장"/>
      <sheetName val="자재co"/>
      <sheetName val="갑지"/>
      <sheetName val="간접"/>
      <sheetName val="단가조사서"/>
      <sheetName val="전체"/>
      <sheetName val="so-021"/>
      <sheetName val="lee"/>
      <sheetName val="집계표소트"/>
      <sheetName val="II손익관리"/>
      <sheetName val="파이프류"/>
      <sheetName val="조건"/>
      <sheetName val="일수"/>
      <sheetName val="대창(장성)"/>
      <sheetName val="건축원가계산서"/>
      <sheetName val="집계표"/>
      <sheetName val="자재테이블"/>
      <sheetName val="울산자동제어"/>
      <sheetName val="유림총괄"/>
      <sheetName val="을"/>
      <sheetName val="약품공급2"/>
      <sheetName val="상반기손익차2총괄"/>
      <sheetName val="전문품의"/>
      <sheetName val="플랜트 설치"/>
      <sheetName val="원가"/>
      <sheetName val="unit 4"/>
      <sheetName val="확약서"/>
      <sheetName val="RD제품개발투자비(매가)"/>
      <sheetName val="통신물량"/>
      <sheetName val="공사원가계산서"/>
      <sheetName val="내역서"/>
      <sheetName val="산출내역서"/>
      <sheetName val="70%"/>
      <sheetName val="암거 제원표"/>
      <sheetName val="세목별"/>
      <sheetName val="490A 소부재"/>
      <sheetName val="편입토지조서"/>
      <sheetName val="수리결과"/>
      <sheetName val="토목"/>
      <sheetName val="노임단가 (2)"/>
      <sheetName val="전기일위목록"/>
      <sheetName val="Components"/>
      <sheetName val="실행철강하도"/>
      <sheetName val="RE9604"/>
      <sheetName val="현장경비"/>
      <sheetName val="견적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입"/>
      <sheetName val="전출"/>
      <sheetName val="11단계"/>
      <sheetName val="총괄표"/>
    </sheetNames>
    <sheetDataSet>
      <sheetData sheetId="0">
        <row r="1">
          <cell r="A1" t="str">
            <v>▶ 전입자 (322명)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행정표준(1)"/>
      <sheetName val="행정표준(2)"/>
      <sheetName val="제안서"/>
      <sheetName val="총괄표"/>
      <sheetName val="소개"/>
      <sheetName val="#REF"/>
      <sheetName val="전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형결과"/>
      <sheetName val="학교별 (2)"/>
      <sheetName val="최종결과"/>
      <sheetName val="안배"/>
      <sheetName val="제안서"/>
      <sheetName val="행정표준(1)"/>
      <sheetName val="행정표준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차량별점검"/>
      <sheetName val="품셈TABLE"/>
      <sheetName val="2.대외공문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 중장비 작업계획서"/>
      <sheetName val="1-2. 양중작업계획서(크레인)"/>
      <sheetName val="1-3. 지내력검토(크레인)"/>
      <sheetName val="2. 중량물 종류별 세부 내용(해당 중장비)"/>
      <sheetName val="3. (운반용)중량물 취급 작업계획서"/>
      <sheetName val="작성샘플"/>
    </sheetNames>
    <sheetDataSet>
      <sheetData sheetId="0" refreshError="1"/>
      <sheetData sheetId="1">
        <row r="19">
          <cell r="F19">
            <v>40</v>
          </cell>
        </row>
        <row r="25">
          <cell r="R25">
            <v>3.2</v>
          </cell>
        </row>
      </sheetData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6EFC-7D34-4025-AC98-54B07C2BEABB}">
  <dimension ref="A1:K52"/>
  <sheetViews>
    <sheetView tabSelected="1" view="pageBreakPreview" zoomScale="85" zoomScaleNormal="100" zoomScaleSheetLayoutView="85" workbookViewId="0">
      <selection activeCell="D32" sqref="D32:E32"/>
    </sheetView>
  </sheetViews>
  <sheetFormatPr defaultRowHeight="16.5" x14ac:dyDescent="0.3"/>
  <cols>
    <col min="1" max="1" width="15" style="1" customWidth="1"/>
    <col min="2" max="2" width="15.375" style="1" customWidth="1"/>
    <col min="3" max="3" width="10.375" style="1" customWidth="1"/>
    <col min="4" max="4" width="15" style="1" customWidth="1"/>
    <col min="5" max="5" width="6.125" style="1" customWidth="1"/>
    <col min="6" max="6" width="13.25" style="1" customWidth="1"/>
    <col min="7" max="7" width="15" style="1" customWidth="1"/>
    <col min="8" max="8" width="2.25" style="1" customWidth="1"/>
    <col min="9" max="9" width="12" style="1" customWidth="1"/>
    <col min="10" max="10" width="13.25" style="1" customWidth="1"/>
    <col min="11" max="11" width="6.125" style="1" customWidth="1"/>
    <col min="12" max="16384" width="9" style="1"/>
  </cols>
  <sheetData>
    <row r="1" spans="1:11" ht="15" customHeight="1" x14ac:dyDescent="0.2">
      <c r="J1" s="2"/>
      <c r="K1" s="2"/>
    </row>
    <row r="2" spans="1:11" ht="15" customHeight="1" x14ac:dyDescent="0.3"/>
    <row r="3" spans="1:11" ht="15" customHeight="1" x14ac:dyDescent="0.3"/>
    <row r="4" spans="1:11" ht="15" customHeight="1" x14ac:dyDescent="0.3"/>
    <row r="5" spans="1:11" s="3" customFormat="1" ht="21" customHeight="1" x14ac:dyDescent="0.3">
      <c r="A5" s="123" t="s">
        <v>11</v>
      </c>
      <c r="B5" s="139"/>
      <c r="C5" s="139"/>
      <c r="D5" s="139"/>
      <c r="E5" s="140" t="s">
        <v>0</v>
      </c>
      <c r="F5" s="140"/>
      <c r="G5" s="147"/>
      <c r="H5" s="147"/>
      <c r="I5" s="147"/>
      <c r="J5" s="147"/>
      <c r="K5" s="147"/>
    </row>
    <row r="6" spans="1:11" s="3" customFormat="1" ht="21" customHeight="1" x14ac:dyDescent="0.3">
      <c r="A6" s="123" t="s">
        <v>1</v>
      </c>
      <c r="B6" s="139"/>
      <c r="C6" s="139"/>
      <c r="D6" s="123" t="s">
        <v>33</v>
      </c>
      <c r="E6" s="139"/>
      <c r="F6" s="139"/>
      <c r="G6" s="140" t="s">
        <v>12</v>
      </c>
      <c r="H6" s="140"/>
      <c r="I6" s="140"/>
      <c r="J6" s="141"/>
      <c r="K6" s="142"/>
    </row>
    <row r="7" spans="1:11" s="3" customFormat="1" ht="21" customHeight="1" x14ac:dyDescent="0.3">
      <c r="A7" s="123" t="s">
        <v>13</v>
      </c>
      <c r="B7" s="139"/>
      <c r="C7" s="139"/>
      <c r="D7" s="60" t="s">
        <v>35</v>
      </c>
      <c r="E7" s="139"/>
      <c r="F7" s="139"/>
      <c r="G7" s="140" t="s">
        <v>14</v>
      </c>
      <c r="H7" s="140"/>
      <c r="I7" s="140"/>
      <c r="J7" s="141"/>
      <c r="K7" s="142"/>
    </row>
    <row r="8" spans="1:11" s="3" customFormat="1" ht="21" customHeight="1" x14ac:dyDescent="0.3">
      <c r="A8" s="123" t="s">
        <v>34</v>
      </c>
      <c r="B8" s="141"/>
      <c r="C8" s="142"/>
      <c r="D8" s="123" t="s">
        <v>37</v>
      </c>
      <c r="E8" s="139"/>
      <c r="F8" s="139"/>
      <c r="G8" s="143" t="s">
        <v>15</v>
      </c>
      <c r="H8" s="144"/>
      <c r="I8" s="123" t="s">
        <v>2</v>
      </c>
      <c r="J8" s="141"/>
      <c r="K8" s="142"/>
    </row>
    <row r="9" spans="1:11" s="3" customFormat="1" ht="21" customHeight="1" x14ac:dyDescent="0.3">
      <c r="A9" s="123" t="s">
        <v>16</v>
      </c>
      <c r="B9" s="139"/>
      <c r="C9" s="139"/>
      <c r="D9" s="123" t="s">
        <v>36</v>
      </c>
      <c r="E9" s="139"/>
      <c r="F9" s="139"/>
      <c r="G9" s="145"/>
      <c r="H9" s="146"/>
      <c r="I9" s="123" t="s">
        <v>38</v>
      </c>
      <c r="J9" s="180" t="s">
        <v>45</v>
      </c>
      <c r="K9" s="181"/>
    </row>
    <row r="10" spans="1:11" s="3" customFormat="1" ht="21" customHeight="1" x14ac:dyDescent="0.3">
      <c r="A10" s="123" t="s">
        <v>39</v>
      </c>
      <c r="B10" s="141"/>
      <c r="C10" s="142"/>
      <c r="D10" s="123" t="s">
        <v>40</v>
      </c>
      <c r="E10" s="141"/>
      <c r="F10" s="142"/>
      <c r="G10" s="151" t="s">
        <v>41</v>
      </c>
      <c r="H10" s="152"/>
      <c r="I10" s="153"/>
      <c r="J10" s="141"/>
      <c r="K10" s="142"/>
    </row>
    <row r="11" spans="1:11" s="3" customFormat="1" ht="21" customHeight="1" x14ac:dyDescent="0.3">
      <c r="A11" s="123" t="s">
        <v>42</v>
      </c>
      <c r="B11" s="139"/>
      <c r="C11" s="139"/>
      <c r="D11" s="123" t="s">
        <v>43</v>
      </c>
      <c r="E11" s="139"/>
      <c r="F11" s="139"/>
      <c r="G11" s="140" t="s">
        <v>44</v>
      </c>
      <c r="H11" s="140"/>
      <c r="I11" s="140"/>
      <c r="J11" s="141"/>
      <c r="K11" s="142"/>
    </row>
    <row r="12" spans="1:11" s="3" customFormat="1" ht="5.25" customHeight="1" x14ac:dyDescent="0.3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</row>
    <row r="13" spans="1:11" ht="18.75" customHeight="1" x14ac:dyDescent="0.3">
      <c r="A13" s="148" t="s">
        <v>379</v>
      </c>
      <c r="B13" s="148" t="s">
        <v>380</v>
      </c>
      <c r="C13" s="149" t="s">
        <v>389</v>
      </c>
      <c r="D13" s="149"/>
      <c r="E13" s="148" t="s">
        <v>381</v>
      </c>
      <c r="F13" s="148"/>
      <c r="G13" s="183">
        <v>16</v>
      </c>
      <c r="H13" s="184"/>
      <c r="I13" s="121" t="s">
        <v>419</v>
      </c>
      <c r="J13" s="185">
        <v>2</v>
      </c>
      <c r="K13" s="188" t="s">
        <v>382</v>
      </c>
    </row>
    <row r="14" spans="1:11" ht="18.75" customHeight="1" x14ac:dyDescent="0.3">
      <c r="A14" s="148"/>
      <c r="B14" s="148"/>
      <c r="C14" s="149"/>
      <c r="D14" s="149"/>
      <c r="E14" s="148"/>
      <c r="F14" s="148"/>
      <c r="G14" s="183">
        <v>4</v>
      </c>
      <c r="H14" s="184"/>
      <c r="I14" s="122" t="s">
        <v>179</v>
      </c>
      <c r="J14" s="185"/>
      <c r="K14" s="188"/>
    </row>
    <row r="15" spans="1:11" ht="23.25" customHeight="1" x14ac:dyDescent="0.3">
      <c r="A15" s="148"/>
      <c r="B15" s="148"/>
      <c r="C15" s="149" t="s">
        <v>388</v>
      </c>
      <c r="D15" s="149"/>
      <c r="E15" s="148" t="s">
        <v>383</v>
      </c>
      <c r="F15" s="148"/>
      <c r="G15" s="126">
        <f>C16</f>
        <v>50</v>
      </c>
      <c r="H15" s="120" t="s">
        <v>393</v>
      </c>
      <c r="I15" s="127">
        <f>J13</f>
        <v>2</v>
      </c>
      <c r="J15" s="186" t="s">
        <v>384</v>
      </c>
      <c r="K15" s="187"/>
    </row>
    <row r="16" spans="1:11" ht="23.25" customHeight="1" x14ac:dyDescent="0.3">
      <c r="A16" s="148"/>
      <c r="B16" s="138" t="s">
        <v>390</v>
      </c>
      <c r="C16" s="150">
        <v>50</v>
      </c>
      <c r="D16" s="150"/>
      <c r="E16" s="148"/>
      <c r="F16" s="148"/>
      <c r="G16" s="126">
        <v>6</v>
      </c>
      <c r="H16" s="120" t="s">
        <v>393</v>
      </c>
      <c r="I16" s="127">
        <v>1.43</v>
      </c>
      <c r="J16" s="186" t="s">
        <v>385</v>
      </c>
      <c r="K16" s="187"/>
    </row>
    <row r="17" spans="1:11" ht="23.25" customHeight="1" x14ac:dyDescent="0.3">
      <c r="A17" s="148"/>
      <c r="B17" s="138" t="s">
        <v>391</v>
      </c>
      <c r="C17" s="182">
        <f>(G15*I15)/(G16*I16)</f>
        <v>11.655011655011656</v>
      </c>
      <c r="D17" s="182"/>
      <c r="E17" s="148" t="s">
        <v>386</v>
      </c>
      <c r="F17" s="148"/>
      <c r="G17" s="148" t="s">
        <v>387</v>
      </c>
      <c r="H17" s="148"/>
      <c r="I17" s="148"/>
      <c r="J17" s="148"/>
      <c r="K17" s="148"/>
    </row>
    <row r="18" spans="1:11" ht="23.25" customHeight="1" x14ac:dyDescent="0.3">
      <c r="A18" s="148" t="s">
        <v>394</v>
      </c>
      <c r="B18" s="124" t="s">
        <v>380</v>
      </c>
      <c r="C18" s="124" t="s">
        <v>395</v>
      </c>
      <c r="D18" s="148" t="s">
        <v>396</v>
      </c>
      <c r="E18" s="148"/>
      <c r="F18" s="124" t="s">
        <v>380</v>
      </c>
      <c r="G18" s="148" t="s">
        <v>395</v>
      </c>
      <c r="H18" s="148"/>
      <c r="I18" s="148" t="s">
        <v>396</v>
      </c>
      <c r="J18" s="148"/>
      <c r="K18" s="148"/>
    </row>
    <row r="19" spans="1:11" ht="23.25" customHeight="1" x14ac:dyDescent="0.3">
      <c r="A19" s="148"/>
      <c r="B19" s="125" t="s">
        <v>397</v>
      </c>
      <c r="C19" s="125"/>
      <c r="D19" s="150"/>
      <c r="E19" s="150"/>
      <c r="F19" s="125" t="s">
        <v>196</v>
      </c>
      <c r="G19" s="150"/>
      <c r="H19" s="150"/>
      <c r="I19" s="150"/>
      <c r="J19" s="150"/>
      <c r="K19" s="150"/>
    </row>
    <row r="20" spans="1:11" s="3" customFormat="1" ht="5.25" customHeight="1" x14ac:dyDescent="0.3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</row>
    <row r="21" spans="1:11" ht="23.25" customHeight="1" x14ac:dyDescent="0.3">
      <c r="A21" s="163" t="s">
        <v>398</v>
      </c>
      <c r="B21" s="164"/>
      <c r="C21" s="164"/>
      <c r="D21" s="164"/>
      <c r="E21" s="165"/>
      <c r="F21" s="164" t="s">
        <v>399</v>
      </c>
      <c r="G21" s="164"/>
      <c r="H21" s="164"/>
      <c r="I21" s="164"/>
      <c r="J21" s="164"/>
      <c r="K21" s="165"/>
    </row>
    <row r="22" spans="1:11" ht="21.75" customHeight="1" x14ac:dyDescent="0.3">
      <c r="A22" s="131" t="s">
        <v>400</v>
      </c>
      <c r="B22" s="201" t="s">
        <v>410</v>
      </c>
      <c r="C22" s="202"/>
      <c r="D22" s="202"/>
      <c r="E22" s="203"/>
      <c r="F22" s="128" t="s">
        <v>400</v>
      </c>
      <c r="G22" s="201" t="s">
        <v>415</v>
      </c>
      <c r="H22" s="202"/>
      <c r="I22" s="202"/>
      <c r="J22" s="202"/>
      <c r="K22" s="203"/>
    </row>
    <row r="23" spans="1:11" ht="21.75" customHeight="1" x14ac:dyDescent="0.3">
      <c r="A23" s="129" t="s">
        <v>402</v>
      </c>
      <c r="B23" s="191" t="s">
        <v>411</v>
      </c>
      <c r="C23" s="192"/>
      <c r="D23" s="135">
        <v>40</v>
      </c>
      <c r="E23" s="133" t="s">
        <v>401</v>
      </c>
      <c r="F23" s="129" t="s">
        <v>402</v>
      </c>
      <c r="G23" s="191" t="s">
        <v>418</v>
      </c>
      <c r="H23" s="192"/>
      <c r="I23" s="192"/>
      <c r="J23" s="132"/>
      <c r="K23" s="133" t="s">
        <v>401</v>
      </c>
    </row>
    <row r="24" spans="1:11" ht="21.75" customHeight="1" x14ac:dyDescent="0.3">
      <c r="A24" s="129" t="s">
        <v>403</v>
      </c>
      <c r="B24" s="191" t="s">
        <v>413</v>
      </c>
      <c r="C24" s="192"/>
      <c r="D24" s="135">
        <v>3.2</v>
      </c>
      <c r="E24" s="133" t="s">
        <v>401</v>
      </c>
      <c r="F24" s="129" t="s">
        <v>403</v>
      </c>
      <c r="G24" s="191" t="s">
        <v>412</v>
      </c>
      <c r="H24" s="192"/>
      <c r="I24" s="192"/>
      <c r="J24" s="132"/>
      <c r="K24" s="133" t="s">
        <v>401</v>
      </c>
    </row>
    <row r="25" spans="1:11" ht="21.75" customHeight="1" x14ac:dyDescent="0.3">
      <c r="A25" s="129" t="s">
        <v>404</v>
      </c>
      <c r="B25" s="191" t="s">
        <v>414</v>
      </c>
      <c r="C25" s="192"/>
      <c r="D25" s="135">
        <v>2.25</v>
      </c>
      <c r="E25" s="136" t="s">
        <v>408</v>
      </c>
      <c r="F25" s="196" t="s">
        <v>422</v>
      </c>
      <c r="G25" s="191" t="s">
        <v>417</v>
      </c>
      <c r="H25" s="192"/>
      <c r="I25" s="192"/>
      <c r="J25" s="192"/>
      <c r="K25" s="193"/>
    </row>
    <row r="26" spans="1:11" ht="21.75" customHeight="1" x14ac:dyDescent="0.3">
      <c r="A26" s="129" t="s">
        <v>405</v>
      </c>
      <c r="B26" s="197">
        <f>0.85*(D23+D24)*1.3*0.5*1.5</f>
        <v>35.802</v>
      </c>
      <c r="C26" s="198"/>
      <c r="D26" s="198"/>
      <c r="E26" s="133" t="s">
        <v>409</v>
      </c>
      <c r="F26" s="196"/>
      <c r="G26" s="191"/>
      <c r="H26" s="192"/>
      <c r="I26" s="192"/>
      <c r="J26" s="192"/>
      <c r="K26" s="133" t="s">
        <v>416</v>
      </c>
    </row>
    <row r="27" spans="1:11" ht="21.75" customHeight="1" x14ac:dyDescent="0.3">
      <c r="A27" s="129" t="s">
        <v>406</v>
      </c>
      <c r="B27" s="197">
        <f>B26/D25</f>
        <v>15.911999999999999</v>
      </c>
      <c r="C27" s="198"/>
      <c r="D27" s="198"/>
      <c r="E27" s="133" t="s">
        <v>409</v>
      </c>
      <c r="F27" s="129" t="s">
        <v>406</v>
      </c>
      <c r="G27" s="191"/>
      <c r="H27" s="192"/>
      <c r="I27" s="192"/>
      <c r="J27" s="192"/>
      <c r="K27" s="133" t="s">
        <v>409</v>
      </c>
    </row>
    <row r="28" spans="1:11" ht="21.75" customHeight="1" x14ac:dyDescent="0.3">
      <c r="A28" s="130" t="s">
        <v>407</v>
      </c>
      <c r="B28" s="199">
        <v>30</v>
      </c>
      <c r="C28" s="200"/>
      <c r="D28" s="200"/>
      <c r="E28" s="134" t="s">
        <v>409</v>
      </c>
      <c r="F28" s="130" t="s">
        <v>407</v>
      </c>
      <c r="G28" s="194"/>
      <c r="H28" s="195"/>
      <c r="I28" s="195"/>
      <c r="J28" s="195"/>
      <c r="K28" s="134" t="s">
        <v>409</v>
      </c>
    </row>
    <row r="29" spans="1:11" s="3" customFormat="1" ht="5.25" customHeight="1" x14ac:dyDescent="0.3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</row>
    <row r="30" spans="1:11" ht="19.5" customHeight="1" x14ac:dyDescent="0.3">
      <c r="A30" s="163" t="s">
        <v>366</v>
      </c>
      <c r="B30" s="164"/>
      <c r="C30" s="164"/>
      <c r="D30" s="164"/>
      <c r="E30" s="165"/>
      <c r="F30" s="163" t="s">
        <v>367</v>
      </c>
      <c r="G30" s="164"/>
      <c r="H30" s="164"/>
      <c r="I30" s="164"/>
      <c r="J30" s="164"/>
      <c r="K30" s="165"/>
    </row>
    <row r="31" spans="1:11" ht="19.5" customHeight="1" x14ac:dyDescent="0.3">
      <c r="A31" s="91" t="s">
        <v>357</v>
      </c>
      <c r="B31" s="118" t="s">
        <v>369</v>
      </c>
      <c r="C31" s="91" t="s">
        <v>359</v>
      </c>
      <c r="D31" s="166" t="s">
        <v>371</v>
      </c>
      <c r="E31" s="167"/>
      <c r="F31" s="91" t="s">
        <v>357</v>
      </c>
      <c r="G31" s="166" t="s">
        <v>369</v>
      </c>
      <c r="H31" s="167"/>
      <c r="I31" s="91" t="s">
        <v>359</v>
      </c>
      <c r="J31" s="166" t="s">
        <v>371</v>
      </c>
      <c r="K31" s="167"/>
    </row>
    <row r="32" spans="1:11" ht="19.5" customHeight="1" x14ac:dyDescent="0.3">
      <c r="A32" s="91" t="s">
        <v>358</v>
      </c>
      <c r="B32" s="118" t="s">
        <v>370</v>
      </c>
      <c r="C32" s="117" t="s">
        <v>360</v>
      </c>
      <c r="D32" s="166" t="s">
        <v>372</v>
      </c>
      <c r="E32" s="167"/>
      <c r="F32" s="91" t="s">
        <v>358</v>
      </c>
      <c r="G32" s="166" t="s">
        <v>370</v>
      </c>
      <c r="H32" s="167"/>
      <c r="I32" s="91" t="s">
        <v>362</v>
      </c>
      <c r="J32" s="166" t="s">
        <v>377</v>
      </c>
      <c r="K32" s="167"/>
    </row>
    <row r="33" spans="1:11" ht="19.5" customHeight="1" x14ac:dyDescent="0.3">
      <c r="A33" s="91" t="s">
        <v>362</v>
      </c>
      <c r="B33" s="119" t="s">
        <v>373</v>
      </c>
      <c r="C33" s="91" t="s">
        <v>363</v>
      </c>
      <c r="D33" s="166" t="s">
        <v>375</v>
      </c>
      <c r="E33" s="167"/>
      <c r="F33" s="91" t="s">
        <v>360</v>
      </c>
      <c r="G33" s="174" t="s">
        <v>373</v>
      </c>
      <c r="H33" s="175"/>
      <c r="I33" s="91" t="s">
        <v>363</v>
      </c>
      <c r="J33" s="166" t="s">
        <v>375</v>
      </c>
      <c r="K33" s="167"/>
    </row>
    <row r="34" spans="1:11" ht="19.5" customHeight="1" x14ac:dyDescent="0.3">
      <c r="A34" s="91" t="s">
        <v>361</v>
      </c>
      <c r="B34" s="118" t="s">
        <v>374</v>
      </c>
      <c r="C34" s="91" t="s">
        <v>364</v>
      </c>
      <c r="D34" s="166" t="s">
        <v>376</v>
      </c>
      <c r="E34" s="167"/>
      <c r="F34" s="91" t="s">
        <v>361</v>
      </c>
      <c r="G34" s="166" t="s">
        <v>374</v>
      </c>
      <c r="H34" s="167"/>
      <c r="I34" s="91" t="s">
        <v>364</v>
      </c>
      <c r="J34" s="166" t="s">
        <v>376</v>
      </c>
      <c r="K34" s="167"/>
    </row>
    <row r="35" spans="1:11" ht="19.5" customHeight="1" x14ac:dyDescent="0.3">
      <c r="A35" s="91" t="s">
        <v>365</v>
      </c>
      <c r="B35" s="168" t="s">
        <v>368</v>
      </c>
      <c r="C35" s="169"/>
      <c r="D35" s="169"/>
      <c r="E35" s="170"/>
      <c r="F35" s="91" t="s">
        <v>365</v>
      </c>
      <c r="G35" s="171" t="s">
        <v>368</v>
      </c>
      <c r="H35" s="169"/>
      <c r="I35" s="169"/>
      <c r="J35" s="169"/>
      <c r="K35" s="170"/>
    </row>
    <row r="36" spans="1:11" x14ac:dyDescent="0.3">
      <c r="A36" s="190" t="s">
        <v>421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</row>
    <row r="37" spans="1:11" s="4" customFormat="1" ht="24" customHeight="1" x14ac:dyDescent="0.3">
      <c r="A37" s="148" t="s">
        <v>3</v>
      </c>
      <c r="B37" s="148"/>
      <c r="C37" s="148"/>
      <c r="D37" s="148"/>
      <c r="E37" s="148"/>
      <c r="F37" s="148" t="s">
        <v>4</v>
      </c>
      <c r="G37" s="148"/>
      <c r="H37" s="148"/>
      <c r="I37" s="148"/>
      <c r="J37" s="148"/>
      <c r="K37" s="148"/>
    </row>
    <row r="38" spans="1:11" s="4" customFormat="1" ht="24" customHeight="1" x14ac:dyDescent="0.3">
      <c r="A38" s="155" t="s">
        <v>46</v>
      </c>
      <c r="B38" s="156"/>
      <c r="C38" s="156"/>
      <c r="D38" s="156"/>
      <c r="E38" s="157"/>
      <c r="F38" s="156" t="s">
        <v>10</v>
      </c>
      <c r="G38" s="156"/>
      <c r="H38" s="156"/>
      <c r="I38" s="156"/>
      <c r="J38" s="156"/>
      <c r="K38" s="157"/>
    </row>
    <row r="39" spans="1:11" s="4" customFormat="1" ht="24" customHeight="1" x14ac:dyDescent="0.3">
      <c r="A39" s="158" t="s">
        <v>7</v>
      </c>
      <c r="B39" s="159"/>
      <c r="C39" s="159"/>
      <c r="D39" s="159"/>
      <c r="E39" s="160"/>
      <c r="F39" s="161" t="s">
        <v>356</v>
      </c>
      <c r="G39" s="161"/>
      <c r="H39" s="161"/>
      <c r="I39" s="161"/>
      <c r="J39" s="161"/>
      <c r="K39" s="162"/>
    </row>
    <row r="40" spans="1:11" s="4" customFormat="1" ht="24" customHeight="1" x14ac:dyDescent="0.3">
      <c r="A40" s="158" t="s">
        <v>5</v>
      </c>
      <c r="B40" s="159"/>
      <c r="C40" s="159"/>
      <c r="D40" s="159"/>
      <c r="E40" s="160"/>
      <c r="F40" s="159" t="s">
        <v>8</v>
      </c>
      <c r="G40" s="159"/>
      <c r="H40" s="159"/>
      <c r="I40" s="159"/>
      <c r="J40" s="159"/>
      <c r="K40" s="160"/>
    </row>
    <row r="41" spans="1:11" s="4" customFormat="1" ht="24" customHeight="1" x14ac:dyDescent="0.3">
      <c r="A41" s="177" t="s">
        <v>6</v>
      </c>
      <c r="B41" s="178"/>
      <c r="C41" s="178"/>
      <c r="D41" s="178"/>
      <c r="E41" s="179"/>
      <c r="F41" s="178" t="s">
        <v>9</v>
      </c>
      <c r="G41" s="178"/>
      <c r="H41" s="178"/>
      <c r="I41" s="178"/>
      <c r="J41" s="178"/>
      <c r="K41" s="179"/>
    </row>
    <row r="42" spans="1:11" s="4" customFormat="1" ht="23.25" customHeight="1" x14ac:dyDescent="0.3">
      <c r="A42" s="148" t="s">
        <v>17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</row>
    <row r="43" spans="1:11" s="4" customFormat="1" ht="23.25" customHeight="1" x14ac:dyDescent="0.3">
      <c r="A43" s="148" t="s">
        <v>18</v>
      </c>
      <c r="B43" s="148"/>
      <c r="C43" s="148"/>
      <c r="D43" s="148"/>
      <c r="E43" s="148"/>
      <c r="F43" s="148" t="s">
        <v>19</v>
      </c>
      <c r="G43" s="148"/>
      <c r="H43" s="148"/>
      <c r="I43" s="148"/>
      <c r="J43" s="148"/>
      <c r="K43" s="148"/>
    </row>
    <row r="44" spans="1:11" ht="24" customHeight="1" x14ac:dyDescent="0.3">
      <c r="A44" s="189" t="s">
        <v>20</v>
      </c>
      <c r="B44" s="189"/>
      <c r="C44" s="189"/>
      <c r="D44" s="189"/>
      <c r="E44" s="189"/>
      <c r="F44" s="189" t="s">
        <v>21</v>
      </c>
      <c r="G44" s="189"/>
      <c r="H44" s="189"/>
      <c r="I44" s="189"/>
      <c r="J44" s="189"/>
      <c r="K44" s="189"/>
    </row>
    <row r="45" spans="1:11" ht="24" customHeight="1" x14ac:dyDescent="0.3">
      <c r="A45" s="176" t="s">
        <v>22</v>
      </c>
      <c r="B45" s="176"/>
      <c r="C45" s="176"/>
      <c r="D45" s="176"/>
      <c r="E45" s="176"/>
      <c r="F45" s="176" t="s">
        <v>23</v>
      </c>
      <c r="G45" s="176"/>
      <c r="H45" s="176"/>
      <c r="I45" s="176"/>
      <c r="J45" s="176"/>
      <c r="K45" s="176"/>
    </row>
    <row r="46" spans="1:11" ht="24" customHeight="1" x14ac:dyDescent="0.3">
      <c r="A46" s="176" t="s">
        <v>24</v>
      </c>
      <c r="B46" s="176"/>
      <c r="C46" s="176"/>
      <c r="D46" s="176"/>
      <c r="E46" s="176"/>
      <c r="F46" s="176" t="s">
        <v>25</v>
      </c>
      <c r="G46" s="176"/>
      <c r="H46" s="176"/>
      <c r="I46" s="176"/>
      <c r="J46" s="176"/>
      <c r="K46" s="176"/>
    </row>
    <row r="47" spans="1:11" ht="24" customHeight="1" x14ac:dyDescent="0.3">
      <c r="A47" s="176" t="s">
        <v>26</v>
      </c>
      <c r="B47" s="176"/>
      <c r="C47" s="176"/>
      <c r="D47" s="176"/>
      <c r="E47" s="176"/>
      <c r="F47" s="176" t="s">
        <v>27</v>
      </c>
      <c r="G47" s="176"/>
      <c r="H47" s="176"/>
      <c r="I47" s="176"/>
      <c r="J47" s="176"/>
      <c r="K47" s="176"/>
    </row>
    <row r="48" spans="1:11" ht="24" customHeight="1" x14ac:dyDescent="0.3">
      <c r="A48" s="176" t="s">
        <v>28</v>
      </c>
      <c r="B48" s="176"/>
      <c r="C48" s="176"/>
      <c r="D48" s="176"/>
      <c r="E48" s="176"/>
      <c r="F48" s="176" t="s">
        <v>29</v>
      </c>
      <c r="G48" s="176"/>
      <c r="H48" s="176"/>
      <c r="I48" s="176"/>
      <c r="J48" s="176"/>
      <c r="K48" s="176"/>
    </row>
    <row r="49" spans="1:11" ht="24" customHeight="1" x14ac:dyDescent="0.3">
      <c r="A49" s="172" t="s">
        <v>30</v>
      </c>
      <c r="B49" s="172"/>
      <c r="C49" s="172"/>
      <c r="D49" s="172"/>
      <c r="E49" s="172"/>
      <c r="F49" s="172" t="s">
        <v>31</v>
      </c>
      <c r="G49" s="172"/>
      <c r="H49" s="172"/>
      <c r="I49" s="172"/>
      <c r="J49" s="172"/>
      <c r="K49" s="172"/>
    </row>
    <row r="50" spans="1:11" s="4" customFormat="1" ht="30" customHeight="1" x14ac:dyDescent="0.3">
      <c r="A50" s="173" t="s">
        <v>171</v>
      </c>
      <c r="B50" s="173"/>
      <c r="C50" s="173" t="s">
        <v>170</v>
      </c>
      <c r="D50" s="173"/>
      <c r="E50" s="173"/>
      <c r="F50" s="173" t="s">
        <v>392</v>
      </c>
      <c r="G50" s="173"/>
      <c r="H50" s="173"/>
      <c r="I50" s="173" t="s">
        <v>169</v>
      </c>
      <c r="J50" s="173"/>
      <c r="K50" s="173"/>
    </row>
    <row r="51" spans="1:11" x14ac:dyDescent="0.3">
      <c r="A51" s="137" t="s">
        <v>420</v>
      </c>
      <c r="B51" s="137"/>
      <c r="C51" s="137"/>
      <c r="D51" s="137"/>
      <c r="E51" s="137"/>
      <c r="F51" s="137"/>
      <c r="G51" s="137"/>
      <c r="H51" s="137"/>
      <c r="I51" s="137"/>
      <c r="J51" s="137"/>
      <c r="K51" s="137"/>
    </row>
    <row r="52" spans="1:11" x14ac:dyDescent="0.3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</row>
  </sheetData>
  <mergeCells count="115">
    <mergeCell ref="A18:A19"/>
    <mergeCell ref="D18:E18"/>
    <mergeCell ref="G18:H18"/>
    <mergeCell ref="I18:K18"/>
    <mergeCell ref="A20:K20"/>
    <mergeCell ref="A36:K36"/>
    <mergeCell ref="G25:K25"/>
    <mergeCell ref="G26:J26"/>
    <mergeCell ref="G27:J27"/>
    <mergeCell ref="G28:J28"/>
    <mergeCell ref="F25:F26"/>
    <mergeCell ref="B25:C25"/>
    <mergeCell ref="B26:D26"/>
    <mergeCell ref="B27:D27"/>
    <mergeCell ref="B28:D28"/>
    <mergeCell ref="A21:E21"/>
    <mergeCell ref="F21:K21"/>
    <mergeCell ref="B22:E22"/>
    <mergeCell ref="B23:C23"/>
    <mergeCell ref="B24:C24"/>
    <mergeCell ref="G22:K22"/>
    <mergeCell ref="G23:I23"/>
    <mergeCell ref="G24:I24"/>
    <mergeCell ref="D19:E19"/>
    <mergeCell ref="G19:H19"/>
    <mergeCell ref="I19:K19"/>
    <mergeCell ref="J7:K7"/>
    <mergeCell ref="J8:K8"/>
    <mergeCell ref="J9:K9"/>
    <mergeCell ref="J10:K10"/>
    <mergeCell ref="J11:K11"/>
    <mergeCell ref="A48:E48"/>
    <mergeCell ref="F48:K48"/>
    <mergeCell ref="C17:D17"/>
    <mergeCell ref="G13:H13"/>
    <mergeCell ref="G14:H14"/>
    <mergeCell ref="E13:F14"/>
    <mergeCell ref="E15:F16"/>
    <mergeCell ref="C13:D14"/>
    <mergeCell ref="E17:F17"/>
    <mergeCell ref="G17:K17"/>
    <mergeCell ref="J13:J14"/>
    <mergeCell ref="J15:K15"/>
    <mergeCell ref="J16:K16"/>
    <mergeCell ref="K13:K14"/>
    <mergeCell ref="A44:E44"/>
    <mergeCell ref="F44:K44"/>
    <mergeCell ref="A45:E45"/>
    <mergeCell ref="A49:E49"/>
    <mergeCell ref="F49:K49"/>
    <mergeCell ref="A50:B50"/>
    <mergeCell ref="C50:E50"/>
    <mergeCell ref="I50:K50"/>
    <mergeCell ref="F50:H50"/>
    <mergeCell ref="G31:H31"/>
    <mergeCell ref="G32:H32"/>
    <mergeCell ref="G33:H33"/>
    <mergeCell ref="G34:H34"/>
    <mergeCell ref="F45:K45"/>
    <mergeCell ref="J31:K31"/>
    <mergeCell ref="J32:K32"/>
    <mergeCell ref="J33:K33"/>
    <mergeCell ref="J34:K34"/>
    <mergeCell ref="A46:E46"/>
    <mergeCell ref="F46:K46"/>
    <mergeCell ref="A47:E47"/>
    <mergeCell ref="F47:K47"/>
    <mergeCell ref="A41:E41"/>
    <mergeCell ref="F41:K41"/>
    <mergeCell ref="A42:K42"/>
    <mergeCell ref="A43:E43"/>
    <mergeCell ref="F43:K43"/>
    <mergeCell ref="A38:E38"/>
    <mergeCell ref="F38:K38"/>
    <mergeCell ref="A39:E39"/>
    <mergeCell ref="F39:K39"/>
    <mergeCell ref="A40:E40"/>
    <mergeCell ref="F40:K40"/>
    <mergeCell ref="A37:E37"/>
    <mergeCell ref="F37:K37"/>
    <mergeCell ref="A29:K29"/>
    <mergeCell ref="A30:E30"/>
    <mergeCell ref="F30:K30"/>
    <mergeCell ref="D31:E31"/>
    <mergeCell ref="D32:E32"/>
    <mergeCell ref="D33:E33"/>
    <mergeCell ref="D34:E34"/>
    <mergeCell ref="B35:E35"/>
    <mergeCell ref="G35:K35"/>
    <mergeCell ref="A13:A17"/>
    <mergeCell ref="C15:D15"/>
    <mergeCell ref="B13:B15"/>
    <mergeCell ref="C16:D16"/>
    <mergeCell ref="B10:C10"/>
    <mergeCell ref="E10:F10"/>
    <mergeCell ref="G10:I10"/>
    <mergeCell ref="B11:C11"/>
    <mergeCell ref="E11:F11"/>
    <mergeCell ref="G11:I11"/>
    <mergeCell ref="A12:K12"/>
    <mergeCell ref="B7:C7"/>
    <mergeCell ref="E7:F7"/>
    <mergeCell ref="G7:I7"/>
    <mergeCell ref="B8:C8"/>
    <mergeCell ref="E8:F8"/>
    <mergeCell ref="B9:C9"/>
    <mergeCell ref="E9:F9"/>
    <mergeCell ref="G8:H9"/>
    <mergeCell ref="B5:D5"/>
    <mergeCell ref="E5:F5"/>
    <mergeCell ref="G5:K5"/>
    <mergeCell ref="B6:C6"/>
    <mergeCell ref="E6:F6"/>
    <mergeCell ref="G6:I6"/>
    <mergeCell ref="J6:K6"/>
  </mergeCells>
  <phoneticPr fontId="6" type="noConversion"/>
  <printOptions horizontalCentered="1" verticalCentered="1"/>
  <pageMargins left="0.23622047244094491" right="0.23622047244094491" top="0.39370078740157483" bottom="0" header="0.19685039370078741" footer="0.19685039370078741"/>
  <pageSetup paperSize="9" scale="74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4391-5FAF-4FAC-89C5-1D62ABE4C5C2}">
  <sheetPr>
    <pageSetUpPr fitToPage="1"/>
  </sheetPr>
  <dimension ref="A1:X248"/>
  <sheetViews>
    <sheetView view="pageBreakPreview" zoomScale="85" zoomScaleNormal="124" zoomScaleSheetLayoutView="85" workbookViewId="0">
      <selection activeCell="AD13" sqref="AD13"/>
    </sheetView>
  </sheetViews>
  <sheetFormatPr defaultColWidth="8.75" defaultRowHeight="12" x14ac:dyDescent="0.3"/>
  <cols>
    <col min="1" max="24" width="4.75" style="61" customWidth="1"/>
    <col min="25" max="41" width="3.75" style="61" customWidth="1"/>
    <col min="42" max="16384" width="8.75" style="61"/>
  </cols>
  <sheetData>
    <row r="1" spans="1:24" ht="59.25" customHeight="1" x14ac:dyDescent="0.3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</row>
    <row r="2" spans="1:24" ht="19.899999999999999" customHeight="1" x14ac:dyDescent="0.3">
      <c r="A2" s="205" t="s">
        <v>172</v>
      </c>
      <c r="B2" s="206"/>
      <c r="C2" s="207"/>
      <c r="D2" s="215" t="s">
        <v>173</v>
      </c>
      <c r="E2" s="215"/>
      <c r="F2" s="215"/>
      <c r="G2" s="215"/>
      <c r="H2" s="218" t="s">
        <v>174</v>
      </c>
      <c r="I2" s="219"/>
      <c r="J2" s="219"/>
      <c r="K2" s="220"/>
      <c r="L2" s="224" t="s">
        <v>175</v>
      </c>
      <c r="M2" s="225"/>
      <c r="N2" s="226"/>
      <c r="O2" s="230">
        <v>24</v>
      </c>
      <c r="P2" s="230"/>
      <c r="Q2" s="230"/>
      <c r="R2" s="230"/>
      <c r="S2" s="98" t="s">
        <v>176</v>
      </c>
      <c r="T2" s="231">
        <v>2</v>
      </c>
      <c r="U2" s="206"/>
      <c r="V2" s="206"/>
      <c r="W2" s="207"/>
      <c r="X2" s="235" t="s">
        <v>177</v>
      </c>
    </row>
    <row r="3" spans="1:24" ht="19.899999999999999" customHeight="1" x14ac:dyDescent="0.3">
      <c r="A3" s="208"/>
      <c r="B3" s="209"/>
      <c r="C3" s="210"/>
      <c r="D3" s="216"/>
      <c r="E3" s="216"/>
      <c r="F3" s="216"/>
      <c r="G3" s="216"/>
      <c r="H3" s="221"/>
      <c r="I3" s="222"/>
      <c r="J3" s="222"/>
      <c r="K3" s="223"/>
      <c r="L3" s="227"/>
      <c r="M3" s="228"/>
      <c r="N3" s="229"/>
      <c r="O3" s="237">
        <v>4</v>
      </c>
      <c r="P3" s="238"/>
      <c r="Q3" s="238"/>
      <c r="R3" s="238"/>
      <c r="S3" s="62" t="s">
        <v>179</v>
      </c>
      <c r="T3" s="232"/>
      <c r="U3" s="233"/>
      <c r="V3" s="233"/>
      <c r="W3" s="234"/>
      <c r="X3" s="236"/>
    </row>
    <row r="4" spans="1:24" ht="19.899999999999999" customHeight="1" x14ac:dyDescent="0.25">
      <c r="A4" s="211"/>
      <c r="B4" s="209"/>
      <c r="C4" s="210"/>
      <c r="D4" s="217"/>
      <c r="E4" s="217"/>
      <c r="F4" s="217"/>
      <c r="G4" s="217"/>
      <c r="H4" s="239" t="s">
        <v>180</v>
      </c>
      <c r="I4" s="239"/>
      <c r="J4" s="239"/>
      <c r="K4" s="239"/>
      <c r="L4" s="243" t="s">
        <v>181</v>
      </c>
      <c r="M4" s="217"/>
      <c r="N4" s="217"/>
      <c r="O4" s="244">
        <f>H5</f>
        <v>24</v>
      </c>
      <c r="P4" s="245"/>
      <c r="Q4" s="63" t="s">
        <v>182</v>
      </c>
      <c r="R4" s="246">
        <f>T2</f>
        <v>2</v>
      </c>
      <c r="S4" s="247"/>
      <c r="T4" s="248" t="s">
        <v>183</v>
      </c>
      <c r="U4" s="248"/>
      <c r="V4" s="248"/>
      <c r="W4" s="248"/>
      <c r="X4" s="249"/>
    </row>
    <row r="5" spans="1:24" ht="19.899999999999999" customHeight="1" x14ac:dyDescent="0.3">
      <c r="A5" s="211"/>
      <c r="B5" s="209"/>
      <c r="C5" s="210"/>
      <c r="D5" s="217" t="s">
        <v>184</v>
      </c>
      <c r="E5" s="217"/>
      <c r="F5" s="217"/>
      <c r="G5" s="217"/>
      <c r="H5" s="250">
        <v>24</v>
      </c>
      <c r="I5" s="250"/>
      <c r="J5" s="250"/>
      <c r="K5" s="64" t="s">
        <v>185</v>
      </c>
      <c r="L5" s="217"/>
      <c r="M5" s="217"/>
      <c r="N5" s="217"/>
      <c r="O5" s="251">
        <v>6</v>
      </c>
      <c r="P5" s="252"/>
      <c r="Q5" s="65" t="s">
        <v>182</v>
      </c>
      <c r="R5" s="253">
        <v>1.43</v>
      </c>
      <c r="S5" s="254"/>
      <c r="T5" s="255" t="s">
        <v>186</v>
      </c>
      <c r="U5" s="255"/>
      <c r="V5" s="255"/>
      <c r="W5" s="255"/>
      <c r="X5" s="256"/>
    </row>
    <row r="6" spans="1:24" ht="19.899999999999999" customHeight="1" x14ac:dyDescent="0.3">
      <c r="A6" s="212"/>
      <c r="B6" s="213"/>
      <c r="C6" s="214"/>
      <c r="D6" s="240" t="s">
        <v>187</v>
      </c>
      <c r="E6" s="240"/>
      <c r="F6" s="240"/>
      <c r="G6" s="240"/>
      <c r="H6" s="259">
        <f>(O4*R4)/(O5*R5)</f>
        <v>5.5944055944055942</v>
      </c>
      <c r="I6" s="259"/>
      <c r="J6" s="259"/>
      <c r="K6" s="99" t="s">
        <v>185</v>
      </c>
      <c r="L6" s="240" t="s">
        <v>188</v>
      </c>
      <c r="M6" s="240"/>
      <c r="N6" s="240"/>
      <c r="O6" s="241" t="s">
        <v>189</v>
      </c>
      <c r="P6" s="241"/>
      <c r="Q6" s="241"/>
      <c r="R6" s="241"/>
      <c r="S6" s="241"/>
      <c r="T6" s="241"/>
      <c r="U6" s="241"/>
      <c r="V6" s="241"/>
      <c r="W6" s="241"/>
      <c r="X6" s="242"/>
    </row>
    <row r="7" spans="1:24" ht="19.899999999999999" customHeight="1" x14ac:dyDescent="0.3">
      <c r="A7" s="205" t="s">
        <v>190</v>
      </c>
      <c r="B7" s="206"/>
      <c r="C7" s="207"/>
      <c r="D7" s="215" t="s">
        <v>173</v>
      </c>
      <c r="E7" s="215"/>
      <c r="F7" s="215"/>
      <c r="G7" s="215"/>
      <c r="H7" s="218" t="s">
        <v>174</v>
      </c>
      <c r="I7" s="219"/>
      <c r="J7" s="219"/>
      <c r="K7" s="220"/>
      <c r="L7" s="224" t="s">
        <v>175</v>
      </c>
      <c r="M7" s="225"/>
      <c r="N7" s="226"/>
      <c r="O7" s="230">
        <v>16</v>
      </c>
      <c r="P7" s="230"/>
      <c r="Q7" s="230"/>
      <c r="R7" s="230"/>
      <c r="S7" s="98" t="s">
        <v>176</v>
      </c>
      <c r="T7" s="231">
        <v>2</v>
      </c>
      <c r="U7" s="206"/>
      <c r="V7" s="206"/>
      <c r="W7" s="207"/>
      <c r="X7" s="235" t="s">
        <v>177</v>
      </c>
    </row>
    <row r="8" spans="1:24" ht="19.899999999999999" customHeight="1" x14ac:dyDescent="0.3">
      <c r="A8" s="208"/>
      <c r="B8" s="209"/>
      <c r="C8" s="210"/>
      <c r="D8" s="216"/>
      <c r="E8" s="216"/>
      <c r="F8" s="216"/>
      <c r="G8" s="216"/>
      <c r="H8" s="221"/>
      <c r="I8" s="222"/>
      <c r="J8" s="222"/>
      <c r="K8" s="223"/>
      <c r="L8" s="227"/>
      <c r="M8" s="228"/>
      <c r="N8" s="229"/>
      <c r="O8" s="237">
        <v>4</v>
      </c>
      <c r="P8" s="238"/>
      <c r="Q8" s="238"/>
      <c r="R8" s="238"/>
      <c r="S8" s="62" t="s">
        <v>179</v>
      </c>
      <c r="T8" s="232"/>
      <c r="U8" s="233"/>
      <c r="V8" s="233"/>
      <c r="W8" s="234"/>
      <c r="X8" s="236"/>
    </row>
    <row r="9" spans="1:24" ht="19.899999999999999" customHeight="1" x14ac:dyDescent="0.25">
      <c r="A9" s="211"/>
      <c r="B9" s="209"/>
      <c r="C9" s="210"/>
      <c r="D9" s="217"/>
      <c r="E9" s="217"/>
      <c r="F9" s="217"/>
      <c r="G9" s="217"/>
      <c r="H9" s="239" t="s">
        <v>180</v>
      </c>
      <c r="I9" s="239"/>
      <c r="J9" s="239"/>
      <c r="K9" s="239"/>
      <c r="L9" s="243" t="s">
        <v>181</v>
      </c>
      <c r="M9" s="217"/>
      <c r="N9" s="217"/>
      <c r="O9" s="244">
        <f>H10</f>
        <v>24</v>
      </c>
      <c r="P9" s="245"/>
      <c r="Q9" s="63" t="s">
        <v>182</v>
      </c>
      <c r="R9" s="246">
        <f>T7</f>
        <v>2</v>
      </c>
      <c r="S9" s="247"/>
      <c r="T9" s="257" t="s">
        <v>183</v>
      </c>
      <c r="U9" s="257"/>
      <c r="V9" s="257"/>
      <c r="W9" s="257"/>
      <c r="X9" s="258"/>
    </row>
    <row r="10" spans="1:24" ht="19.899999999999999" customHeight="1" x14ac:dyDescent="0.3">
      <c r="A10" s="211"/>
      <c r="B10" s="209"/>
      <c r="C10" s="210"/>
      <c r="D10" s="217" t="s">
        <v>184</v>
      </c>
      <c r="E10" s="217"/>
      <c r="F10" s="217"/>
      <c r="G10" s="217"/>
      <c r="H10" s="250">
        <v>24</v>
      </c>
      <c r="I10" s="250"/>
      <c r="J10" s="250"/>
      <c r="K10" s="66" t="s">
        <v>185</v>
      </c>
      <c r="L10" s="217"/>
      <c r="M10" s="217"/>
      <c r="N10" s="217"/>
      <c r="O10" s="251">
        <v>6</v>
      </c>
      <c r="P10" s="252"/>
      <c r="Q10" s="65" t="s">
        <v>182</v>
      </c>
      <c r="R10" s="253">
        <v>1.43</v>
      </c>
      <c r="S10" s="254"/>
      <c r="T10" s="255" t="s">
        <v>186</v>
      </c>
      <c r="U10" s="255"/>
      <c r="V10" s="255"/>
      <c r="W10" s="255"/>
      <c r="X10" s="256"/>
    </row>
    <row r="11" spans="1:24" ht="19.899999999999999" customHeight="1" x14ac:dyDescent="0.3">
      <c r="A11" s="212"/>
      <c r="B11" s="213"/>
      <c r="C11" s="214"/>
      <c r="D11" s="240" t="s">
        <v>187</v>
      </c>
      <c r="E11" s="240"/>
      <c r="F11" s="240"/>
      <c r="G11" s="240"/>
      <c r="H11" s="259">
        <f>(O9*R9)/(O10*R10)</f>
        <v>5.5944055944055942</v>
      </c>
      <c r="I11" s="259"/>
      <c r="J11" s="259"/>
      <c r="K11" s="99" t="s">
        <v>185</v>
      </c>
      <c r="L11" s="240" t="s">
        <v>188</v>
      </c>
      <c r="M11" s="240"/>
      <c r="N11" s="240"/>
      <c r="O11" s="241" t="s">
        <v>189</v>
      </c>
      <c r="P11" s="241"/>
      <c r="Q11" s="241"/>
      <c r="R11" s="241"/>
      <c r="S11" s="241"/>
      <c r="T11" s="241"/>
      <c r="U11" s="241"/>
      <c r="V11" s="241"/>
      <c r="W11" s="241"/>
      <c r="X11" s="242"/>
    </row>
    <row r="12" spans="1:24" ht="19.899999999999999" customHeight="1" x14ac:dyDescent="0.3">
      <c r="A12" s="260" t="s">
        <v>191</v>
      </c>
      <c r="B12" s="206"/>
      <c r="C12" s="206"/>
      <c r="D12" s="215" t="s">
        <v>192</v>
      </c>
      <c r="E12" s="215"/>
      <c r="F12" s="215"/>
      <c r="G12" s="215"/>
      <c r="H12" s="261" t="s">
        <v>193</v>
      </c>
      <c r="I12" s="261"/>
      <c r="J12" s="261"/>
      <c r="K12" s="262"/>
      <c r="L12" s="263"/>
      <c r="M12" s="264"/>
      <c r="N12" s="215" t="s">
        <v>194</v>
      </c>
      <c r="O12" s="215"/>
      <c r="P12" s="215"/>
      <c r="Q12" s="265"/>
      <c r="R12" s="265"/>
      <c r="S12" s="265"/>
      <c r="T12" s="100" t="s">
        <v>178</v>
      </c>
      <c r="U12" s="265"/>
      <c r="V12" s="265"/>
      <c r="W12" s="265"/>
      <c r="X12" s="101" t="s">
        <v>177</v>
      </c>
    </row>
    <row r="13" spans="1:24" ht="19.899999999999999" customHeight="1" x14ac:dyDescent="0.3">
      <c r="A13" s="211"/>
      <c r="B13" s="209"/>
      <c r="C13" s="209"/>
      <c r="D13" s="217" t="s">
        <v>195</v>
      </c>
      <c r="E13" s="217"/>
      <c r="F13" s="217"/>
      <c r="G13" s="217"/>
      <c r="H13" s="266"/>
      <c r="I13" s="266"/>
      <c r="J13" s="266"/>
      <c r="K13" s="267"/>
      <c r="L13" s="267"/>
      <c r="M13" s="267"/>
      <c r="N13" s="217"/>
      <c r="O13" s="217"/>
      <c r="P13" s="217"/>
      <c r="Q13" s="217"/>
      <c r="R13" s="217"/>
      <c r="S13" s="217"/>
      <c r="T13" s="66"/>
      <c r="U13" s="217"/>
      <c r="V13" s="217"/>
      <c r="W13" s="217"/>
      <c r="X13" s="102"/>
    </row>
    <row r="14" spans="1:24" ht="19.899999999999999" customHeight="1" x14ac:dyDescent="0.3">
      <c r="A14" s="211"/>
      <c r="B14" s="209"/>
      <c r="C14" s="209"/>
      <c r="D14" s="217" t="s">
        <v>196</v>
      </c>
      <c r="E14" s="217"/>
      <c r="F14" s="217"/>
      <c r="G14" s="217"/>
      <c r="H14" s="266"/>
      <c r="I14" s="266"/>
      <c r="J14" s="266"/>
      <c r="K14" s="267"/>
      <c r="L14" s="267"/>
      <c r="M14" s="267"/>
      <c r="N14" s="217"/>
      <c r="O14" s="217"/>
      <c r="P14" s="217"/>
      <c r="Q14" s="217"/>
      <c r="R14" s="217"/>
      <c r="S14" s="217"/>
      <c r="T14" s="66"/>
      <c r="U14" s="217"/>
      <c r="V14" s="217"/>
      <c r="W14" s="217"/>
      <c r="X14" s="102"/>
    </row>
    <row r="15" spans="1:24" ht="19.899999999999999" customHeight="1" x14ac:dyDescent="0.3">
      <c r="A15" s="212"/>
      <c r="B15" s="213"/>
      <c r="C15" s="213"/>
      <c r="D15" s="240"/>
      <c r="E15" s="240"/>
      <c r="F15" s="240"/>
      <c r="G15" s="240"/>
      <c r="H15" s="259"/>
      <c r="I15" s="259"/>
      <c r="J15" s="259"/>
      <c r="K15" s="268"/>
      <c r="L15" s="268"/>
      <c r="M15" s="268"/>
      <c r="N15" s="240"/>
      <c r="O15" s="240"/>
      <c r="P15" s="240"/>
      <c r="Q15" s="240"/>
      <c r="R15" s="240"/>
      <c r="S15" s="240"/>
      <c r="T15" s="99"/>
      <c r="U15" s="240"/>
      <c r="V15" s="240"/>
      <c r="W15" s="240"/>
      <c r="X15" s="103"/>
    </row>
    <row r="16" spans="1:24" ht="4.1500000000000004" customHeight="1" x14ac:dyDescent="0.3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8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</row>
    <row r="17" spans="1:24" ht="23.45" customHeight="1" x14ac:dyDescent="0.3">
      <c r="A17" s="269" t="s">
        <v>197</v>
      </c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1"/>
    </row>
    <row r="18" spans="1:24" ht="23.25" customHeight="1" x14ac:dyDescent="0.3">
      <c r="A18" s="272" t="s">
        <v>198</v>
      </c>
      <c r="B18" s="273"/>
      <c r="C18" s="273"/>
      <c r="D18" s="274"/>
      <c r="E18" s="275"/>
      <c r="F18" s="276"/>
      <c r="G18" s="276"/>
      <c r="H18" s="276"/>
      <c r="I18" s="276"/>
      <c r="J18" s="276"/>
      <c r="K18" s="276"/>
      <c r="L18" s="277"/>
      <c r="M18" s="272" t="s">
        <v>199</v>
      </c>
      <c r="N18" s="273"/>
      <c r="O18" s="273"/>
      <c r="P18" s="274"/>
      <c r="Q18" s="275"/>
      <c r="R18" s="276"/>
      <c r="S18" s="276"/>
      <c r="T18" s="276"/>
      <c r="U18" s="276"/>
      <c r="V18" s="276"/>
      <c r="W18" s="278"/>
      <c r="X18" s="104" t="s">
        <v>200</v>
      </c>
    </row>
    <row r="19" spans="1:24" ht="19.899999999999999" customHeight="1" x14ac:dyDescent="0.3">
      <c r="A19" s="279" t="s">
        <v>201</v>
      </c>
      <c r="B19" s="280"/>
      <c r="C19" s="280"/>
      <c r="D19" s="281"/>
      <c r="E19" s="282">
        <v>40</v>
      </c>
      <c r="F19" s="283"/>
      <c r="G19" s="283"/>
      <c r="H19" s="283"/>
      <c r="I19" s="283"/>
      <c r="J19" s="283"/>
      <c r="K19" s="284"/>
      <c r="L19" s="69" t="s">
        <v>185</v>
      </c>
      <c r="M19" s="279" t="s">
        <v>202</v>
      </c>
      <c r="N19" s="280"/>
      <c r="O19" s="280"/>
      <c r="P19" s="281"/>
      <c r="Q19" s="282"/>
      <c r="R19" s="283"/>
      <c r="S19" s="283"/>
      <c r="T19" s="283"/>
      <c r="U19" s="283"/>
      <c r="V19" s="283"/>
      <c r="W19" s="284"/>
      <c r="X19" s="105" t="s">
        <v>200</v>
      </c>
    </row>
    <row r="20" spans="1:24" ht="19.899999999999999" customHeight="1" x14ac:dyDescent="0.3">
      <c r="A20" s="279" t="s">
        <v>203</v>
      </c>
      <c r="B20" s="280"/>
      <c r="C20" s="280"/>
      <c r="D20" s="281"/>
      <c r="E20" s="282"/>
      <c r="F20" s="283"/>
      <c r="G20" s="283"/>
      <c r="H20" s="283"/>
      <c r="I20" s="283"/>
      <c r="J20" s="283"/>
      <c r="K20" s="284"/>
      <c r="L20" s="69" t="s">
        <v>200</v>
      </c>
      <c r="M20" s="285" t="s">
        <v>204</v>
      </c>
      <c r="N20" s="286"/>
      <c r="O20" s="288" t="s">
        <v>205</v>
      </c>
      <c r="P20" s="281"/>
      <c r="Q20" s="282"/>
      <c r="R20" s="283"/>
      <c r="S20" s="283"/>
      <c r="T20" s="283"/>
      <c r="U20" s="283"/>
      <c r="V20" s="283"/>
      <c r="W20" s="283"/>
      <c r="X20" s="289"/>
    </row>
    <row r="21" spans="1:24" ht="19.899999999999999" customHeight="1" x14ac:dyDescent="0.3">
      <c r="A21" s="290" t="s">
        <v>206</v>
      </c>
      <c r="B21" s="291"/>
      <c r="C21" s="291"/>
      <c r="D21" s="292"/>
      <c r="E21" s="282"/>
      <c r="F21" s="283"/>
      <c r="G21" s="283"/>
      <c r="H21" s="284"/>
      <c r="I21" s="64" t="s">
        <v>200</v>
      </c>
      <c r="J21" s="293"/>
      <c r="K21" s="284"/>
      <c r="L21" s="70" t="s">
        <v>207</v>
      </c>
      <c r="M21" s="211"/>
      <c r="N21" s="210"/>
      <c r="O21" s="288" t="s">
        <v>208</v>
      </c>
      <c r="P21" s="281"/>
      <c r="Q21" s="71"/>
      <c r="R21" s="72" t="s">
        <v>200</v>
      </c>
      <c r="S21" s="73" t="s">
        <v>182</v>
      </c>
      <c r="T21" s="74"/>
      <c r="U21" s="72" t="s">
        <v>200</v>
      </c>
      <c r="V21" s="73" t="s">
        <v>182</v>
      </c>
      <c r="W21" s="74"/>
      <c r="X21" s="106" t="s">
        <v>200</v>
      </c>
    </row>
    <row r="22" spans="1:24" ht="19.899999999999999" customHeight="1" x14ac:dyDescent="0.3">
      <c r="A22" s="279" t="s">
        <v>209</v>
      </c>
      <c r="B22" s="280"/>
      <c r="C22" s="280"/>
      <c r="D22" s="281"/>
      <c r="E22" s="282">
        <v>20</v>
      </c>
      <c r="F22" s="283"/>
      <c r="G22" s="283"/>
      <c r="H22" s="283"/>
      <c r="I22" s="283"/>
      <c r="J22" s="283"/>
      <c r="K22" s="284"/>
      <c r="L22" s="69" t="s">
        <v>185</v>
      </c>
      <c r="M22" s="211"/>
      <c r="N22" s="210"/>
      <c r="O22" s="288" t="s">
        <v>210</v>
      </c>
      <c r="P22" s="281"/>
      <c r="Q22" s="282">
        <v>2.5</v>
      </c>
      <c r="R22" s="283"/>
      <c r="S22" s="283"/>
      <c r="T22" s="283"/>
      <c r="U22" s="283"/>
      <c r="V22" s="283"/>
      <c r="W22" s="284"/>
      <c r="X22" s="105" t="s">
        <v>185</v>
      </c>
    </row>
    <row r="23" spans="1:24" ht="19.899999999999999" customHeight="1" x14ac:dyDescent="0.3">
      <c r="A23" s="279" t="s">
        <v>211</v>
      </c>
      <c r="B23" s="280"/>
      <c r="C23" s="280"/>
      <c r="D23" s="281"/>
      <c r="E23" s="282" t="s">
        <v>212</v>
      </c>
      <c r="F23" s="284"/>
      <c r="G23" s="75"/>
      <c r="H23" s="76" t="s">
        <v>200</v>
      </c>
      <c r="I23" s="293" t="s">
        <v>213</v>
      </c>
      <c r="J23" s="284"/>
      <c r="K23" s="75"/>
      <c r="L23" s="77" t="s">
        <v>200</v>
      </c>
      <c r="M23" s="287"/>
      <c r="N23" s="234"/>
      <c r="O23" s="288" t="s">
        <v>214</v>
      </c>
      <c r="P23" s="281"/>
      <c r="Q23" s="282">
        <v>0.2</v>
      </c>
      <c r="R23" s="283"/>
      <c r="S23" s="283"/>
      <c r="T23" s="283"/>
      <c r="U23" s="283"/>
      <c r="V23" s="283"/>
      <c r="W23" s="284"/>
      <c r="X23" s="105" t="s">
        <v>185</v>
      </c>
    </row>
    <row r="24" spans="1:24" ht="19.899999999999999" customHeight="1" x14ac:dyDescent="0.3">
      <c r="A24" s="294" t="s">
        <v>215</v>
      </c>
      <c r="B24" s="295"/>
      <c r="C24" s="295"/>
      <c r="D24" s="296"/>
      <c r="E24" s="300">
        <v>50</v>
      </c>
      <c r="F24" s="301"/>
      <c r="G24" s="301"/>
      <c r="H24" s="301"/>
      <c r="I24" s="301"/>
      <c r="J24" s="301"/>
      <c r="K24" s="302"/>
      <c r="L24" s="306" t="s">
        <v>185</v>
      </c>
      <c r="M24" s="308" t="s">
        <v>216</v>
      </c>
      <c r="N24" s="309"/>
      <c r="O24" s="309"/>
      <c r="P24" s="310"/>
      <c r="Q24" s="311">
        <v>0.5</v>
      </c>
      <c r="R24" s="312"/>
      <c r="S24" s="312"/>
      <c r="T24" s="312"/>
      <c r="U24" s="312"/>
      <c r="V24" s="312"/>
      <c r="W24" s="313"/>
      <c r="X24" s="105" t="s">
        <v>185</v>
      </c>
    </row>
    <row r="25" spans="1:24" ht="19.899999999999999" customHeight="1" x14ac:dyDescent="0.3">
      <c r="A25" s="297"/>
      <c r="B25" s="298"/>
      <c r="C25" s="298"/>
      <c r="D25" s="299"/>
      <c r="E25" s="303"/>
      <c r="F25" s="304"/>
      <c r="G25" s="304"/>
      <c r="H25" s="304"/>
      <c r="I25" s="304"/>
      <c r="J25" s="304"/>
      <c r="K25" s="305"/>
      <c r="L25" s="307"/>
      <c r="M25" s="314" t="s">
        <v>217</v>
      </c>
      <c r="N25" s="315"/>
      <c r="O25" s="315"/>
      <c r="P25" s="316"/>
      <c r="Q25" s="317">
        <f>Q22+Q24+Q23</f>
        <v>3.2</v>
      </c>
      <c r="R25" s="318"/>
      <c r="S25" s="318"/>
      <c r="T25" s="318"/>
      <c r="U25" s="318"/>
      <c r="V25" s="318"/>
      <c r="W25" s="319"/>
      <c r="X25" s="103" t="s">
        <v>185</v>
      </c>
    </row>
    <row r="26" spans="1:24" ht="19.899999999999999" customHeight="1" x14ac:dyDescent="0.3">
      <c r="A26" s="324" t="s">
        <v>218</v>
      </c>
      <c r="B26" s="325"/>
      <c r="C26" s="325"/>
      <c r="D26" s="328">
        <f>E24</f>
        <v>50</v>
      </c>
      <c r="E26" s="330" t="s">
        <v>219</v>
      </c>
      <c r="F26" s="332">
        <f>Q25</f>
        <v>3.2</v>
      </c>
      <c r="G26" s="325" t="s">
        <v>220</v>
      </c>
      <c r="H26" s="325"/>
      <c r="I26" s="334"/>
      <c r="J26" s="336" t="s">
        <v>215</v>
      </c>
      <c r="K26" s="215"/>
      <c r="L26" s="215"/>
      <c r="M26" s="215"/>
      <c r="N26" s="215">
        <f>E24</f>
        <v>50</v>
      </c>
      <c r="O26" s="215"/>
      <c r="P26" s="98" t="s">
        <v>185</v>
      </c>
      <c r="Q26" s="215" t="s">
        <v>221</v>
      </c>
      <c r="R26" s="215"/>
      <c r="S26" s="215"/>
      <c r="T26" s="215"/>
      <c r="U26" s="215" t="s">
        <v>222</v>
      </c>
      <c r="V26" s="215"/>
      <c r="W26" s="215"/>
      <c r="X26" s="320"/>
    </row>
    <row r="27" spans="1:24" ht="19.899999999999999" customHeight="1" x14ac:dyDescent="0.3">
      <c r="A27" s="326"/>
      <c r="B27" s="327"/>
      <c r="C27" s="327"/>
      <c r="D27" s="329"/>
      <c r="E27" s="331"/>
      <c r="F27" s="333"/>
      <c r="G27" s="327"/>
      <c r="H27" s="327"/>
      <c r="I27" s="335"/>
      <c r="J27" s="321" t="s">
        <v>217</v>
      </c>
      <c r="K27" s="217"/>
      <c r="L27" s="217"/>
      <c r="M27" s="217"/>
      <c r="N27" s="217">
        <f>Q25</f>
        <v>3.2</v>
      </c>
      <c r="O27" s="217"/>
      <c r="P27" s="78" t="s">
        <v>185</v>
      </c>
      <c r="Q27" s="322">
        <f>N27/N26</f>
        <v>6.4000000000000001E-2</v>
      </c>
      <c r="R27" s="322"/>
      <c r="S27" s="322"/>
      <c r="T27" s="322"/>
      <c r="U27" s="217" t="str">
        <f>IF(Q27&gt;85%,"NG","OK")</f>
        <v>OK</v>
      </c>
      <c r="V27" s="217"/>
      <c r="W27" s="217"/>
      <c r="X27" s="323"/>
    </row>
    <row r="28" spans="1:24" ht="22.5" customHeight="1" x14ac:dyDescent="0.3">
      <c r="A28" s="326" t="s">
        <v>223</v>
      </c>
      <c r="B28" s="327"/>
      <c r="C28" s="327"/>
      <c r="D28" s="327"/>
      <c r="E28" s="327"/>
      <c r="F28" s="327"/>
      <c r="G28" s="327"/>
      <c r="H28" s="327"/>
      <c r="I28" s="335"/>
      <c r="J28" s="321" t="s">
        <v>224</v>
      </c>
      <c r="K28" s="217"/>
      <c r="L28" s="217"/>
      <c r="M28" s="217"/>
      <c r="N28" s="266">
        <f>H6</f>
        <v>5.5944055944055942</v>
      </c>
      <c r="O28" s="217"/>
      <c r="P28" s="78" t="s">
        <v>185</v>
      </c>
      <c r="Q28" s="322">
        <f>(Q22)/N28</f>
        <v>0.44687500000000002</v>
      </c>
      <c r="R28" s="322"/>
      <c r="S28" s="322"/>
      <c r="T28" s="322"/>
      <c r="U28" s="217" t="str">
        <f>IF(Q28&gt;85%,"NG","OK")</f>
        <v>OK</v>
      </c>
      <c r="V28" s="217"/>
      <c r="W28" s="217"/>
      <c r="X28" s="323"/>
    </row>
    <row r="29" spans="1:24" ht="22.5" customHeight="1" x14ac:dyDescent="0.3">
      <c r="A29" s="337" t="s">
        <v>355</v>
      </c>
      <c r="B29" s="338"/>
      <c r="C29" s="338"/>
      <c r="D29" s="240" t="str">
        <f>IF(D26&gt;F26,"OK","NG")</f>
        <v>OK</v>
      </c>
      <c r="E29" s="240"/>
      <c r="F29" s="240"/>
      <c r="G29" s="240"/>
      <c r="H29" s="240"/>
      <c r="I29" s="339"/>
      <c r="J29" s="340" t="s">
        <v>226</v>
      </c>
      <c r="K29" s="240"/>
      <c r="L29" s="240"/>
      <c r="M29" s="240"/>
      <c r="N29" s="259">
        <f>H11</f>
        <v>5.5944055944055942</v>
      </c>
      <c r="O29" s="240"/>
      <c r="P29" s="107" t="s">
        <v>185</v>
      </c>
      <c r="Q29" s="341">
        <f>Q22/N29</f>
        <v>0.44687500000000002</v>
      </c>
      <c r="R29" s="341"/>
      <c r="S29" s="341"/>
      <c r="T29" s="341"/>
      <c r="U29" s="240" t="str">
        <f>IF(Q29&gt;85%,"NG","OK")</f>
        <v>OK</v>
      </c>
      <c r="V29" s="240"/>
      <c r="W29" s="240"/>
      <c r="X29" s="339"/>
    </row>
    <row r="30" spans="1:24" ht="5.2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</row>
    <row r="31" spans="1:24" ht="19.5" customHeight="1" x14ac:dyDescent="0.3">
      <c r="A31" s="342" t="s">
        <v>227</v>
      </c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1"/>
      <c r="M31" s="343" t="s">
        <v>228</v>
      </c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5"/>
    </row>
    <row r="32" spans="1:24" ht="19.899999999999999" customHeight="1" x14ac:dyDescent="0.3">
      <c r="A32" s="346"/>
      <c r="B32" s="225"/>
      <c r="C32" s="225"/>
      <c r="D32" s="225"/>
      <c r="E32" s="225"/>
      <c r="F32" s="225"/>
      <c r="G32" s="225"/>
      <c r="H32" s="225"/>
      <c r="I32" s="225"/>
      <c r="J32" s="225"/>
      <c r="K32" s="225"/>
      <c r="L32" s="347"/>
      <c r="M32" s="351" t="s">
        <v>229</v>
      </c>
      <c r="N32" s="351"/>
      <c r="O32" s="351" t="s">
        <v>230</v>
      </c>
      <c r="P32" s="351"/>
      <c r="Q32" s="351" t="s">
        <v>229</v>
      </c>
      <c r="R32" s="351"/>
      <c r="S32" s="351" t="s">
        <v>230</v>
      </c>
      <c r="T32" s="351"/>
      <c r="U32" s="351" t="s">
        <v>229</v>
      </c>
      <c r="V32" s="351"/>
      <c r="W32" s="351" t="s">
        <v>230</v>
      </c>
      <c r="X32" s="351"/>
    </row>
    <row r="33" spans="1:24" ht="19.899999999999999" customHeight="1" x14ac:dyDescent="0.3">
      <c r="A33" s="348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50"/>
      <c r="M33" s="353">
        <v>0</v>
      </c>
      <c r="N33" s="353"/>
      <c r="O33" s="354">
        <v>1</v>
      </c>
      <c r="P33" s="354"/>
      <c r="Q33" s="353">
        <v>50</v>
      </c>
      <c r="R33" s="353"/>
      <c r="S33" s="353">
        <v>1.103</v>
      </c>
      <c r="T33" s="353"/>
      <c r="U33" s="353">
        <v>100</v>
      </c>
      <c r="V33" s="353"/>
      <c r="W33" s="353">
        <v>1.556</v>
      </c>
      <c r="X33" s="353"/>
    </row>
    <row r="34" spans="1:24" ht="19.899999999999999" customHeight="1" x14ac:dyDescent="0.3">
      <c r="A34" s="348"/>
      <c r="B34" s="349"/>
      <c r="C34" s="349"/>
      <c r="D34" s="349"/>
      <c r="E34" s="349"/>
      <c r="F34" s="349"/>
      <c r="G34" s="349"/>
      <c r="H34" s="349"/>
      <c r="I34" s="349"/>
      <c r="J34" s="349"/>
      <c r="K34" s="349"/>
      <c r="L34" s="350"/>
      <c r="M34" s="352">
        <v>10</v>
      </c>
      <c r="N34" s="352"/>
      <c r="O34" s="352">
        <v>1.004</v>
      </c>
      <c r="P34" s="352"/>
      <c r="Q34" s="352">
        <v>60</v>
      </c>
      <c r="R34" s="352"/>
      <c r="S34" s="352">
        <v>1.155</v>
      </c>
      <c r="T34" s="352"/>
      <c r="U34" s="352">
        <v>110</v>
      </c>
      <c r="V34" s="352"/>
      <c r="W34" s="352">
        <v>1.7430000000000001</v>
      </c>
      <c r="X34" s="352"/>
    </row>
    <row r="35" spans="1:24" ht="19.899999999999999" customHeight="1" x14ac:dyDescent="0.3">
      <c r="A35" s="348"/>
      <c r="B35" s="349"/>
      <c r="C35" s="349"/>
      <c r="D35" s="349"/>
      <c r="E35" s="349"/>
      <c r="F35" s="349"/>
      <c r="G35" s="349"/>
      <c r="H35" s="349"/>
      <c r="I35" s="349"/>
      <c r="J35" s="349"/>
      <c r="K35" s="349"/>
      <c r="L35" s="350"/>
      <c r="M35" s="352">
        <v>20</v>
      </c>
      <c r="N35" s="352"/>
      <c r="O35" s="352">
        <v>1.0149999999999999</v>
      </c>
      <c r="P35" s="352"/>
      <c r="Q35" s="352">
        <v>70</v>
      </c>
      <c r="R35" s="352"/>
      <c r="S35" s="352">
        <v>1.2210000000000001</v>
      </c>
      <c r="T35" s="352"/>
      <c r="U35" s="352">
        <v>120</v>
      </c>
      <c r="V35" s="352"/>
      <c r="W35" s="355">
        <v>2</v>
      </c>
      <c r="X35" s="355"/>
    </row>
    <row r="36" spans="1:24" ht="19.899999999999999" customHeight="1" x14ac:dyDescent="0.3">
      <c r="A36" s="348"/>
      <c r="B36" s="349"/>
      <c r="C36" s="349"/>
      <c r="D36" s="349"/>
      <c r="E36" s="349"/>
      <c r="F36" s="349"/>
      <c r="G36" s="349"/>
      <c r="H36" s="349"/>
      <c r="I36" s="349"/>
      <c r="J36" s="349"/>
      <c r="K36" s="349"/>
      <c r="L36" s="350"/>
      <c r="M36" s="352">
        <v>30</v>
      </c>
      <c r="N36" s="352"/>
      <c r="O36" s="352">
        <v>1.0349999999999999</v>
      </c>
      <c r="P36" s="352"/>
      <c r="Q36" s="352">
        <v>80</v>
      </c>
      <c r="R36" s="352"/>
      <c r="S36" s="352" t="s">
        <v>231</v>
      </c>
      <c r="T36" s="352"/>
      <c r="U36" s="352">
        <v>130</v>
      </c>
      <c r="V36" s="352"/>
      <c r="W36" s="352">
        <v>2.3660000000000001</v>
      </c>
      <c r="X36" s="352"/>
    </row>
    <row r="37" spans="1:24" ht="19.899999999999999" customHeight="1" x14ac:dyDescent="0.3">
      <c r="A37" s="348"/>
      <c r="B37" s="349"/>
      <c r="C37" s="349"/>
      <c r="D37" s="349"/>
      <c r="E37" s="349"/>
      <c r="F37" s="349"/>
      <c r="G37" s="349"/>
      <c r="H37" s="349"/>
      <c r="I37" s="349"/>
      <c r="J37" s="349"/>
      <c r="K37" s="349"/>
      <c r="L37" s="350"/>
      <c r="M37" s="366">
        <v>40</v>
      </c>
      <c r="N37" s="366"/>
      <c r="O37" s="366">
        <v>1.0649999999999999</v>
      </c>
      <c r="P37" s="366"/>
      <c r="Q37" s="366">
        <v>90</v>
      </c>
      <c r="R37" s="366"/>
      <c r="S37" s="366">
        <v>1.4139999999999999</v>
      </c>
      <c r="T37" s="366"/>
      <c r="U37" s="366">
        <v>140</v>
      </c>
      <c r="V37" s="366"/>
      <c r="W37" s="366">
        <v>2.9239999999999999</v>
      </c>
      <c r="X37" s="366"/>
    </row>
    <row r="38" spans="1:24" ht="3" customHeight="1" x14ac:dyDescent="0.3">
      <c r="A38" s="348"/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50"/>
      <c r="M38" s="108"/>
      <c r="N38" s="80"/>
      <c r="O38" s="80"/>
      <c r="P38" s="80"/>
      <c r="Q38" s="80"/>
      <c r="R38" s="80"/>
      <c r="S38" s="80"/>
      <c r="T38" s="80"/>
      <c r="U38" s="80"/>
      <c r="V38" s="80"/>
      <c r="W38" s="356"/>
      <c r="X38" s="357"/>
    </row>
    <row r="39" spans="1:24" ht="19.5" customHeight="1" x14ac:dyDescent="0.3">
      <c r="A39" s="348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50"/>
      <c r="M39" s="358" t="s">
        <v>232</v>
      </c>
      <c r="N39" s="359"/>
      <c r="O39" s="359"/>
      <c r="P39" s="359"/>
      <c r="Q39" s="359"/>
      <c r="R39" s="359"/>
      <c r="S39" s="359"/>
      <c r="T39" s="359"/>
      <c r="U39" s="359"/>
      <c r="V39" s="359"/>
      <c r="W39" s="359"/>
      <c r="X39" s="360"/>
    </row>
    <row r="40" spans="1:24" ht="19.899999999999999" customHeight="1" x14ac:dyDescent="0.3">
      <c r="A40" s="361" t="s">
        <v>233</v>
      </c>
      <c r="B40" s="362"/>
      <c r="C40" s="362"/>
      <c r="D40" s="362"/>
      <c r="E40" s="362"/>
      <c r="F40" s="362"/>
      <c r="G40" s="362"/>
      <c r="H40" s="362"/>
      <c r="I40" s="362"/>
      <c r="J40" s="362"/>
      <c r="K40" s="362"/>
      <c r="L40" s="363"/>
      <c r="M40" s="364" t="s">
        <v>234</v>
      </c>
      <c r="N40" s="364"/>
      <c r="O40" s="364"/>
      <c r="P40" s="364"/>
      <c r="Q40" s="364"/>
      <c r="R40" s="364"/>
      <c r="S40" s="364" t="s">
        <v>235</v>
      </c>
      <c r="T40" s="364"/>
      <c r="U40" s="364"/>
      <c r="V40" s="364"/>
      <c r="W40" s="364"/>
      <c r="X40" s="364"/>
    </row>
    <row r="41" spans="1:24" ht="19.899999999999999" customHeight="1" x14ac:dyDescent="0.3">
      <c r="A41" s="342" t="s">
        <v>236</v>
      </c>
      <c r="B41" s="270"/>
      <c r="C41" s="270"/>
      <c r="D41" s="270"/>
      <c r="E41" s="270"/>
      <c r="F41" s="270"/>
      <c r="G41" s="270"/>
      <c r="H41" s="270"/>
      <c r="I41" s="270"/>
      <c r="J41" s="270"/>
      <c r="K41" s="270"/>
      <c r="L41" s="271"/>
      <c r="M41" s="365" t="s">
        <v>237</v>
      </c>
      <c r="N41" s="365"/>
      <c r="O41" s="365"/>
      <c r="P41" s="365"/>
      <c r="Q41" s="365"/>
      <c r="R41" s="365"/>
      <c r="S41" s="365">
        <v>1.43</v>
      </c>
      <c r="T41" s="365"/>
      <c r="U41" s="365"/>
      <c r="V41" s="365"/>
      <c r="W41" s="365"/>
      <c r="X41" s="365"/>
    </row>
    <row r="42" spans="1:24" ht="19.899999999999999" customHeight="1" x14ac:dyDescent="0.3">
      <c r="A42" s="367"/>
      <c r="B42" s="356"/>
      <c r="C42" s="356"/>
      <c r="D42" s="356"/>
      <c r="E42" s="356"/>
      <c r="F42" s="356"/>
      <c r="G42" s="356"/>
      <c r="H42" s="356"/>
      <c r="I42" s="356"/>
      <c r="J42" s="356"/>
      <c r="K42" s="356"/>
      <c r="L42" s="357"/>
      <c r="M42" s="374" t="s">
        <v>238</v>
      </c>
      <c r="N42" s="374"/>
      <c r="O42" s="374"/>
      <c r="P42" s="374"/>
      <c r="Q42" s="374"/>
      <c r="R42" s="374"/>
      <c r="S42" s="374">
        <v>2</v>
      </c>
      <c r="T42" s="374"/>
      <c r="U42" s="374"/>
      <c r="V42" s="374"/>
      <c r="W42" s="374"/>
      <c r="X42" s="374"/>
    </row>
    <row r="43" spans="1:24" ht="3" customHeight="1" x14ac:dyDescent="0.3">
      <c r="A43" s="368"/>
      <c r="B43" s="369"/>
      <c r="C43" s="369"/>
      <c r="D43" s="369"/>
      <c r="E43" s="369"/>
      <c r="F43" s="369"/>
      <c r="G43" s="369"/>
      <c r="H43" s="369"/>
      <c r="I43" s="369"/>
      <c r="J43" s="369"/>
      <c r="K43" s="369"/>
      <c r="L43" s="370"/>
      <c r="M43" s="108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109"/>
    </row>
    <row r="44" spans="1:24" ht="19.5" customHeight="1" x14ac:dyDescent="0.3">
      <c r="A44" s="368"/>
      <c r="B44" s="369"/>
      <c r="C44" s="369"/>
      <c r="D44" s="369"/>
      <c r="E44" s="369"/>
      <c r="F44" s="369"/>
      <c r="G44" s="369"/>
      <c r="H44" s="369"/>
      <c r="I44" s="369"/>
      <c r="J44" s="369"/>
      <c r="K44" s="369"/>
      <c r="L44" s="370"/>
      <c r="M44" s="375" t="s">
        <v>239</v>
      </c>
      <c r="N44" s="376"/>
      <c r="O44" s="376"/>
      <c r="P44" s="376"/>
      <c r="Q44" s="376"/>
      <c r="R44" s="376"/>
      <c r="S44" s="376"/>
      <c r="T44" s="376"/>
      <c r="U44" s="376"/>
      <c r="V44" s="376"/>
      <c r="W44" s="376"/>
      <c r="X44" s="377"/>
    </row>
    <row r="45" spans="1:24" ht="19.899999999999999" customHeight="1" x14ac:dyDescent="0.3">
      <c r="A45" s="368"/>
      <c r="B45" s="369"/>
      <c r="C45" s="369"/>
      <c r="D45" s="369"/>
      <c r="E45" s="369"/>
      <c r="F45" s="369"/>
      <c r="G45" s="369"/>
      <c r="H45" s="369"/>
      <c r="I45" s="369"/>
      <c r="J45" s="369"/>
      <c r="K45" s="369"/>
      <c r="L45" s="370"/>
      <c r="M45" s="378" t="s">
        <v>240</v>
      </c>
      <c r="N45" s="378"/>
      <c r="O45" s="378"/>
      <c r="P45" s="378" t="s">
        <v>241</v>
      </c>
      <c r="Q45" s="378"/>
      <c r="R45" s="378"/>
      <c r="S45" s="378" t="s">
        <v>242</v>
      </c>
      <c r="T45" s="378"/>
      <c r="U45" s="378"/>
      <c r="V45" s="378"/>
      <c r="W45" s="378"/>
      <c r="X45" s="378"/>
    </row>
    <row r="46" spans="1:24" ht="19.899999999999999" customHeight="1" x14ac:dyDescent="0.3">
      <c r="A46" s="368"/>
      <c r="B46" s="369"/>
      <c r="C46" s="369"/>
      <c r="D46" s="369"/>
      <c r="E46" s="369"/>
      <c r="F46" s="369"/>
      <c r="G46" s="369"/>
      <c r="H46" s="369"/>
      <c r="I46" s="369"/>
      <c r="J46" s="369"/>
      <c r="K46" s="369"/>
      <c r="L46" s="370"/>
      <c r="M46" s="379" t="s">
        <v>243</v>
      </c>
      <c r="N46" s="379"/>
      <c r="O46" s="379"/>
      <c r="P46" s="379">
        <v>10</v>
      </c>
      <c r="Q46" s="379"/>
      <c r="R46" s="379"/>
      <c r="S46" s="379" t="s">
        <v>244</v>
      </c>
      <c r="T46" s="379"/>
      <c r="U46" s="379"/>
      <c r="V46" s="379"/>
      <c r="W46" s="379"/>
      <c r="X46" s="379"/>
    </row>
    <row r="47" spans="1:24" ht="19.899999999999999" customHeight="1" x14ac:dyDescent="0.3">
      <c r="A47" s="368"/>
      <c r="B47" s="369"/>
      <c r="C47" s="369"/>
      <c r="D47" s="369"/>
      <c r="E47" s="369"/>
      <c r="F47" s="369"/>
      <c r="G47" s="369"/>
      <c r="H47" s="369"/>
      <c r="I47" s="369"/>
      <c r="J47" s="369"/>
      <c r="K47" s="369"/>
      <c r="L47" s="370"/>
      <c r="M47" s="392" t="s">
        <v>245</v>
      </c>
      <c r="N47" s="392"/>
      <c r="O47" s="392"/>
      <c r="P47" s="392">
        <v>6</v>
      </c>
      <c r="Q47" s="392"/>
      <c r="R47" s="392"/>
      <c r="S47" s="392" t="s">
        <v>246</v>
      </c>
      <c r="T47" s="392"/>
      <c r="U47" s="392"/>
      <c r="V47" s="392"/>
      <c r="W47" s="392"/>
      <c r="X47" s="392"/>
    </row>
    <row r="48" spans="1:24" ht="19.899999999999999" customHeight="1" x14ac:dyDescent="0.3">
      <c r="A48" s="368"/>
      <c r="B48" s="369"/>
      <c r="C48" s="369"/>
      <c r="D48" s="369"/>
      <c r="E48" s="369"/>
      <c r="F48" s="369"/>
      <c r="G48" s="369"/>
      <c r="H48" s="369"/>
      <c r="I48" s="369"/>
      <c r="J48" s="369"/>
      <c r="K48" s="369"/>
      <c r="L48" s="370"/>
      <c r="M48" s="393" t="s">
        <v>247</v>
      </c>
      <c r="N48" s="393"/>
      <c r="O48" s="393"/>
      <c r="P48" s="393">
        <v>4</v>
      </c>
      <c r="Q48" s="393"/>
      <c r="R48" s="393"/>
      <c r="S48" s="393" t="s">
        <v>248</v>
      </c>
      <c r="T48" s="393"/>
      <c r="U48" s="393"/>
      <c r="V48" s="393"/>
      <c r="W48" s="393"/>
      <c r="X48" s="393"/>
    </row>
    <row r="49" spans="1:24" ht="3" customHeight="1" x14ac:dyDescent="0.3">
      <c r="A49" s="368"/>
      <c r="B49" s="369"/>
      <c r="C49" s="369"/>
      <c r="D49" s="369"/>
      <c r="E49" s="369"/>
      <c r="F49" s="369"/>
      <c r="G49" s="369"/>
      <c r="H49" s="369"/>
      <c r="I49" s="369"/>
      <c r="J49" s="369"/>
      <c r="K49" s="369"/>
      <c r="L49" s="370"/>
      <c r="M49" s="108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109"/>
    </row>
    <row r="50" spans="1:24" ht="19.899999999999999" customHeight="1" x14ac:dyDescent="0.3">
      <c r="A50" s="368"/>
      <c r="B50" s="369"/>
      <c r="C50" s="369"/>
      <c r="D50" s="369"/>
      <c r="E50" s="369"/>
      <c r="F50" s="369"/>
      <c r="G50" s="369"/>
      <c r="H50" s="369"/>
      <c r="I50" s="369"/>
      <c r="J50" s="369"/>
      <c r="K50" s="369"/>
      <c r="L50" s="370"/>
      <c r="M50" s="380" t="s">
        <v>249</v>
      </c>
      <c r="N50" s="381"/>
      <c r="O50" s="382"/>
      <c r="P50" s="386" t="s">
        <v>250</v>
      </c>
      <c r="Q50" s="387"/>
      <c r="R50" s="387"/>
      <c r="S50" s="387"/>
      <c r="T50" s="387"/>
      <c r="U50" s="387"/>
      <c r="V50" s="387"/>
      <c r="W50" s="387"/>
      <c r="X50" s="388"/>
    </row>
    <row r="51" spans="1:24" ht="19.899999999999999" customHeight="1" x14ac:dyDescent="0.3">
      <c r="A51" s="371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3"/>
      <c r="M51" s="383"/>
      <c r="N51" s="384"/>
      <c r="O51" s="385"/>
      <c r="P51" s="389" t="s">
        <v>251</v>
      </c>
      <c r="Q51" s="390"/>
      <c r="R51" s="390"/>
      <c r="S51" s="390"/>
      <c r="T51" s="390"/>
      <c r="U51" s="390"/>
      <c r="V51" s="390"/>
      <c r="W51" s="390"/>
      <c r="X51" s="391"/>
    </row>
    <row r="52" spans="1:24" ht="19.899999999999999" customHeight="1" x14ac:dyDescent="0.3"/>
    <row r="53" spans="1:24" ht="19.899999999999999" customHeight="1" x14ac:dyDescent="0.3"/>
    <row r="54" spans="1:24" ht="19.899999999999999" customHeight="1" x14ac:dyDescent="0.3"/>
    <row r="55" spans="1:24" ht="19.899999999999999" customHeight="1" x14ac:dyDescent="0.3"/>
    <row r="56" spans="1:24" ht="19.899999999999999" customHeight="1" x14ac:dyDescent="0.3"/>
    <row r="57" spans="1:24" ht="19.899999999999999" customHeight="1" x14ac:dyDescent="0.3"/>
    <row r="58" spans="1:24" ht="19.899999999999999" customHeight="1" x14ac:dyDescent="0.3"/>
    <row r="59" spans="1:24" ht="19.899999999999999" customHeight="1" x14ac:dyDescent="0.3"/>
    <row r="60" spans="1:24" ht="19.899999999999999" customHeight="1" x14ac:dyDescent="0.3"/>
    <row r="61" spans="1:24" ht="19.899999999999999" customHeight="1" x14ac:dyDescent="0.3"/>
    <row r="62" spans="1:24" ht="19.899999999999999" customHeight="1" x14ac:dyDescent="0.3"/>
    <row r="63" spans="1:24" ht="19.899999999999999" customHeight="1" x14ac:dyDescent="0.3"/>
    <row r="64" spans="1:24" ht="19.899999999999999" customHeight="1" x14ac:dyDescent="0.3"/>
    <row r="65" ht="19.899999999999999" customHeight="1" x14ac:dyDescent="0.3"/>
    <row r="66" ht="19.899999999999999" customHeight="1" x14ac:dyDescent="0.3"/>
    <row r="67" ht="19.899999999999999" customHeight="1" x14ac:dyDescent="0.3"/>
    <row r="68" ht="19.899999999999999" customHeight="1" x14ac:dyDescent="0.3"/>
    <row r="69" ht="19.899999999999999" customHeight="1" x14ac:dyDescent="0.3"/>
    <row r="70" ht="19.899999999999999" customHeight="1" x14ac:dyDescent="0.3"/>
    <row r="71" ht="19.899999999999999" customHeight="1" x14ac:dyDescent="0.3"/>
    <row r="72" ht="19.899999999999999" customHeight="1" x14ac:dyDescent="0.3"/>
    <row r="73" ht="19.899999999999999" customHeight="1" x14ac:dyDescent="0.3"/>
    <row r="74" ht="19.899999999999999" customHeight="1" x14ac:dyDescent="0.3"/>
    <row r="75" ht="19.899999999999999" customHeight="1" x14ac:dyDescent="0.3"/>
    <row r="76" ht="19.899999999999999" customHeight="1" x14ac:dyDescent="0.3"/>
    <row r="77" ht="19.899999999999999" customHeight="1" x14ac:dyDescent="0.3"/>
    <row r="78" ht="19.899999999999999" customHeight="1" x14ac:dyDescent="0.3"/>
    <row r="79" ht="19.899999999999999" customHeight="1" x14ac:dyDescent="0.3"/>
    <row r="80" ht="19.899999999999999" customHeight="1" x14ac:dyDescent="0.3"/>
    <row r="81" ht="19.899999999999999" customHeight="1" x14ac:dyDescent="0.3"/>
    <row r="82" ht="19.899999999999999" customHeight="1" x14ac:dyDescent="0.3"/>
    <row r="83" ht="19.899999999999999" customHeight="1" x14ac:dyDescent="0.3"/>
    <row r="84" ht="19.899999999999999" customHeight="1" x14ac:dyDescent="0.3"/>
    <row r="85" ht="19.899999999999999" customHeight="1" x14ac:dyDescent="0.3"/>
    <row r="86" ht="19.899999999999999" customHeight="1" x14ac:dyDescent="0.3"/>
    <row r="87" ht="19.899999999999999" customHeight="1" x14ac:dyDescent="0.3"/>
    <row r="88" ht="19.899999999999999" customHeight="1" x14ac:dyDescent="0.3"/>
    <row r="89" ht="19.899999999999999" customHeight="1" x14ac:dyDescent="0.3"/>
    <row r="90" ht="19.899999999999999" customHeight="1" x14ac:dyDescent="0.3"/>
    <row r="91" ht="19.899999999999999" customHeight="1" x14ac:dyDescent="0.3"/>
    <row r="92" ht="19.899999999999999" customHeight="1" x14ac:dyDescent="0.3"/>
    <row r="93" ht="19.899999999999999" customHeight="1" x14ac:dyDescent="0.3"/>
    <row r="94" ht="19.899999999999999" customHeight="1" x14ac:dyDescent="0.3"/>
    <row r="95" ht="19.899999999999999" customHeight="1" x14ac:dyDescent="0.3"/>
    <row r="96" ht="19.899999999999999" customHeight="1" x14ac:dyDescent="0.3"/>
    <row r="97" ht="19.899999999999999" customHeight="1" x14ac:dyDescent="0.3"/>
    <row r="98" ht="19.899999999999999" customHeight="1" x14ac:dyDescent="0.3"/>
    <row r="99" ht="19.899999999999999" customHeight="1" x14ac:dyDescent="0.3"/>
    <row r="100" ht="19.899999999999999" customHeight="1" x14ac:dyDescent="0.3"/>
    <row r="101" ht="19.899999999999999" customHeight="1" x14ac:dyDescent="0.3"/>
    <row r="102" ht="19.899999999999999" customHeight="1" x14ac:dyDescent="0.3"/>
    <row r="103" ht="19.899999999999999" customHeight="1" x14ac:dyDescent="0.3"/>
    <row r="104" ht="19.899999999999999" customHeight="1" x14ac:dyDescent="0.3"/>
    <row r="105" ht="19.899999999999999" customHeight="1" x14ac:dyDescent="0.3"/>
    <row r="106" ht="19.899999999999999" customHeight="1" x14ac:dyDescent="0.3"/>
    <row r="107" ht="19.899999999999999" customHeight="1" x14ac:dyDescent="0.3"/>
    <row r="108" ht="19.899999999999999" customHeight="1" x14ac:dyDescent="0.3"/>
    <row r="109" ht="19.899999999999999" customHeight="1" x14ac:dyDescent="0.3"/>
    <row r="110" ht="19.899999999999999" customHeight="1" x14ac:dyDescent="0.3"/>
    <row r="111" ht="19.899999999999999" customHeight="1" x14ac:dyDescent="0.3"/>
    <row r="112" ht="19.899999999999999" customHeight="1" x14ac:dyDescent="0.3"/>
    <row r="113" ht="19.899999999999999" customHeight="1" x14ac:dyDescent="0.3"/>
    <row r="114" ht="19.899999999999999" customHeight="1" x14ac:dyDescent="0.3"/>
    <row r="115" ht="19.899999999999999" customHeight="1" x14ac:dyDescent="0.3"/>
    <row r="116" ht="19.899999999999999" customHeight="1" x14ac:dyDescent="0.3"/>
    <row r="117" ht="19.899999999999999" customHeight="1" x14ac:dyDescent="0.3"/>
    <row r="118" ht="19.899999999999999" customHeight="1" x14ac:dyDescent="0.3"/>
    <row r="119" ht="19.899999999999999" customHeight="1" x14ac:dyDescent="0.3"/>
    <row r="120" ht="19.899999999999999" customHeight="1" x14ac:dyDescent="0.3"/>
    <row r="121" ht="19.899999999999999" customHeight="1" x14ac:dyDescent="0.3"/>
    <row r="122" ht="19.899999999999999" customHeight="1" x14ac:dyDescent="0.3"/>
    <row r="123" ht="19.899999999999999" customHeight="1" x14ac:dyDescent="0.3"/>
    <row r="124" ht="19.899999999999999" customHeight="1" x14ac:dyDescent="0.3"/>
    <row r="125" ht="19.899999999999999" customHeight="1" x14ac:dyDescent="0.3"/>
    <row r="126" ht="19.899999999999999" customHeight="1" x14ac:dyDescent="0.3"/>
    <row r="127" ht="19.899999999999999" customHeight="1" x14ac:dyDescent="0.3"/>
    <row r="128" ht="19.899999999999999" customHeight="1" x14ac:dyDescent="0.3"/>
    <row r="129" ht="19.899999999999999" customHeight="1" x14ac:dyDescent="0.3"/>
    <row r="130" ht="19.899999999999999" customHeight="1" x14ac:dyDescent="0.3"/>
    <row r="131" ht="19.899999999999999" customHeight="1" x14ac:dyDescent="0.3"/>
    <row r="132" ht="19.899999999999999" customHeight="1" x14ac:dyDescent="0.3"/>
    <row r="133" ht="19.899999999999999" customHeight="1" x14ac:dyDescent="0.3"/>
    <row r="134" ht="19.899999999999999" customHeight="1" x14ac:dyDescent="0.3"/>
    <row r="135" ht="19.899999999999999" customHeight="1" x14ac:dyDescent="0.3"/>
    <row r="136" ht="19.899999999999999" customHeight="1" x14ac:dyDescent="0.3"/>
    <row r="137" ht="19.899999999999999" customHeight="1" x14ac:dyDescent="0.3"/>
    <row r="138" ht="19.899999999999999" customHeight="1" x14ac:dyDescent="0.3"/>
    <row r="139" ht="19.899999999999999" customHeight="1" x14ac:dyDescent="0.3"/>
    <row r="140" ht="19.899999999999999" customHeight="1" x14ac:dyDescent="0.3"/>
    <row r="141" ht="19.899999999999999" customHeight="1" x14ac:dyDescent="0.3"/>
    <row r="142" ht="19.899999999999999" customHeight="1" x14ac:dyDescent="0.3"/>
    <row r="143" ht="19.899999999999999" customHeight="1" x14ac:dyDescent="0.3"/>
    <row r="144" ht="19.899999999999999" customHeight="1" x14ac:dyDescent="0.3"/>
    <row r="145" ht="19.899999999999999" customHeight="1" x14ac:dyDescent="0.3"/>
    <row r="146" ht="19.899999999999999" customHeight="1" x14ac:dyDescent="0.3"/>
    <row r="147" ht="19.899999999999999" customHeight="1" x14ac:dyDescent="0.3"/>
    <row r="148" ht="19.899999999999999" customHeight="1" x14ac:dyDescent="0.3"/>
    <row r="149" ht="19.899999999999999" customHeight="1" x14ac:dyDescent="0.3"/>
    <row r="150" ht="19.899999999999999" customHeight="1" x14ac:dyDescent="0.3"/>
    <row r="151" ht="19.899999999999999" customHeight="1" x14ac:dyDescent="0.3"/>
    <row r="152" ht="19.899999999999999" customHeight="1" x14ac:dyDescent="0.3"/>
    <row r="153" ht="19.899999999999999" customHeight="1" x14ac:dyDescent="0.3"/>
    <row r="154" ht="19.899999999999999" customHeight="1" x14ac:dyDescent="0.3"/>
    <row r="155" ht="19.899999999999999" customHeight="1" x14ac:dyDescent="0.3"/>
    <row r="156" ht="19.899999999999999" customHeight="1" x14ac:dyDescent="0.3"/>
    <row r="157" ht="19.899999999999999" customHeight="1" x14ac:dyDescent="0.3"/>
    <row r="158" ht="19.899999999999999" customHeight="1" x14ac:dyDescent="0.3"/>
    <row r="159" ht="19.899999999999999" customHeight="1" x14ac:dyDescent="0.3"/>
    <row r="160" ht="19.899999999999999" customHeight="1" x14ac:dyDescent="0.3"/>
    <row r="161" ht="19.899999999999999" customHeight="1" x14ac:dyDescent="0.3"/>
    <row r="162" ht="19.899999999999999" customHeight="1" x14ac:dyDescent="0.3"/>
    <row r="163" ht="19.899999999999999" customHeight="1" x14ac:dyDescent="0.3"/>
    <row r="164" ht="19.899999999999999" customHeight="1" x14ac:dyDescent="0.3"/>
    <row r="165" ht="19.899999999999999" customHeight="1" x14ac:dyDescent="0.3"/>
    <row r="166" ht="19.899999999999999" customHeight="1" x14ac:dyDescent="0.3"/>
    <row r="167" ht="19.899999999999999" customHeight="1" x14ac:dyDescent="0.3"/>
    <row r="168" ht="19.899999999999999" customHeight="1" x14ac:dyDescent="0.3"/>
    <row r="169" ht="19.899999999999999" customHeight="1" x14ac:dyDescent="0.3"/>
    <row r="170" ht="19.899999999999999" customHeight="1" x14ac:dyDescent="0.3"/>
    <row r="171" ht="19.899999999999999" customHeight="1" x14ac:dyDescent="0.3"/>
    <row r="172" ht="19.899999999999999" customHeight="1" x14ac:dyDescent="0.3"/>
    <row r="173" ht="19.899999999999999" customHeight="1" x14ac:dyDescent="0.3"/>
    <row r="174" ht="19.899999999999999" customHeight="1" x14ac:dyDescent="0.3"/>
    <row r="175" ht="19.899999999999999" customHeight="1" x14ac:dyDescent="0.3"/>
    <row r="176" ht="19.899999999999999" customHeight="1" x14ac:dyDescent="0.3"/>
    <row r="177" ht="19.899999999999999" customHeight="1" x14ac:dyDescent="0.3"/>
    <row r="178" ht="19.899999999999999" customHeight="1" x14ac:dyDescent="0.3"/>
    <row r="179" ht="19.899999999999999" customHeight="1" x14ac:dyDescent="0.3"/>
    <row r="180" ht="19.899999999999999" customHeight="1" x14ac:dyDescent="0.3"/>
    <row r="181" ht="19.899999999999999" customHeight="1" x14ac:dyDescent="0.3"/>
    <row r="182" ht="19.899999999999999" customHeight="1" x14ac:dyDescent="0.3"/>
    <row r="183" ht="19.899999999999999" customHeight="1" x14ac:dyDescent="0.3"/>
    <row r="184" ht="19.899999999999999" customHeight="1" x14ac:dyDescent="0.3"/>
    <row r="185" ht="19.899999999999999" customHeight="1" x14ac:dyDescent="0.3"/>
    <row r="186" ht="19.899999999999999" customHeight="1" x14ac:dyDescent="0.3"/>
    <row r="187" ht="19.899999999999999" customHeight="1" x14ac:dyDescent="0.3"/>
    <row r="188" ht="19.899999999999999" customHeight="1" x14ac:dyDescent="0.3"/>
    <row r="189" ht="19.899999999999999" customHeight="1" x14ac:dyDescent="0.3"/>
    <row r="190" ht="19.899999999999999" customHeight="1" x14ac:dyDescent="0.3"/>
    <row r="191" ht="19.899999999999999" customHeight="1" x14ac:dyDescent="0.3"/>
    <row r="192" ht="19.899999999999999" customHeight="1" x14ac:dyDescent="0.3"/>
    <row r="193" ht="19.899999999999999" customHeight="1" x14ac:dyDescent="0.3"/>
    <row r="194" ht="19.899999999999999" customHeight="1" x14ac:dyDescent="0.3"/>
    <row r="195" ht="19.899999999999999" customHeight="1" x14ac:dyDescent="0.3"/>
    <row r="196" ht="19.899999999999999" customHeight="1" x14ac:dyDescent="0.3"/>
    <row r="197" ht="19.899999999999999" customHeight="1" x14ac:dyDescent="0.3"/>
    <row r="198" ht="19.899999999999999" customHeight="1" x14ac:dyDescent="0.3"/>
    <row r="199" ht="19.899999999999999" customHeight="1" x14ac:dyDescent="0.3"/>
    <row r="200" ht="19.899999999999999" customHeight="1" x14ac:dyDescent="0.3"/>
    <row r="201" ht="19.899999999999999" customHeight="1" x14ac:dyDescent="0.3"/>
    <row r="202" ht="19.899999999999999" customHeight="1" x14ac:dyDescent="0.3"/>
    <row r="203" ht="19.899999999999999" customHeight="1" x14ac:dyDescent="0.3"/>
    <row r="204" ht="19.899999999999999" customHeight="1" x14ac:dyDescent="0.3"/>
    <row r="205" ht="19.899999999999999" customHeight="1" x14ac:dyDescent="0.3"/>
    <row r="206" ht="19.899999999999999" customHeight="1" x14ac:dyDescent="0.3"/>
    <row r="207" ht="19.899999999999999" customHeight="1" x14ac:dyDescent="0.3"/>
    <row r="208" ht="19.899999999999999" customHeight="1" x14ac:dyDescent="0.3"/>
    <row r="209" ht="19.899999999999999" customHeight="1" x14ac:dyDescent="0.3"/>
    <row r="210" ht="19.899999999999999" customHeight="1" x14ac:dyDescent="0.3"/>
    <row r="211" ht="19.899999999999999" customHeight="1" x14ac:dyDescent="0.3"/>
    <row r="212" ht="19.899999999999999" customHeight="1" x14ac:dyDescent="0.3"/>
    <row r="213" ht="19.899999999999999" customHeight="1" x14ac:dyDescent="0.3"/>
    <row r="214" ht="19.899999999999999" customHeight="1" x14ac:dyDescent="0.3"/>
    <row r="215" ht="19.899999999999999" customHeight="1" x14ac:dyDescent="0.3"/>
    <row r="216" ht="19.899999999999999" customHeight="1" x14ac:dyDescent="0.3"/>
    <row r="217" ht="19.899999999999999" customHeight="1" x14ac:dyDescent="0.3"/>
    <row r="218" ht="19.899999999999999" customHeight="1" x14ac:dyDescent="0.3"/>
    <row r="219" ht="19.899999999999999" customHeight="1" x14ac:dyDescent="0.3"/>
    <row r="220" ht="19.899999999999999" customHeight="1" x14ac:dyDescent="0.3"/>
    <row r="221" ht="19.899999999999999" customHeight="1" x14ac:dyDescent="0.3"/>
    <row r="222" ht="19.899999999999999" customHeight="1" x14ac:dyDescent="0.3"/>
    <row r="223" ht="19.899999999999999" customHeight="1" x14ac:dyDescent="0.3"/>
    <row r="224" ht="19.899999999999999" customHeight="1" x14ac:dyDescent="0.3"/>
    <row r="225" ht="19.899999999999999" customHeight="1" x14ac:dyDescent="0.3"/>
    <row r="226" ht="19.899999999999999" customHeight="1" x14ac:dyDescent="0.3"/>
    <row r="227" ht="19.899999999999999" customHeight="1" x14ac:dyDescent="0.3"/>
    <row r="228" ht="19.899999999999999" customHeight="1" x14ac:dyDescent="0.3"/>
    <row r="229" ht="19.899999999999999" customHeight="1" x14ac:dyDescent="0.3"/>
    <row r="230" ht="19.899999999999999" customHeight="1" x14ac:dyDescent="0.3"/>
    <row r="231" ht="19.899999999999999" customHeight="1" x14ac:dyDescent="0.3"/>
    <row r="232" ht="19.899999999999999" customHeight="1" x14ac:dyDescent="0.3"/>
    <row r="233" ht="19.899999999999999" customHeight="1" x14ac:dyDescent="0.3"/>
    <row r="234" ht="19.899999999999999" customHeight="1" x14ac:dyDescent="0.3"/>
    <row r="235" ht="19.899999999999999" customHeight="1" x14ac:dyDescent="0.3"/>
    <row r="236" ht="19.899999999999999" customHeight="1" x14ac:dyDescent="0.3"/>
    <row r="237" ht="19.899999999999999" customHeight="1" x14ac:dyDescent="0.3"/>
    <row r="238" ht="19.899999999999999" customHeight="1" x14ac:dyDescent="0.3"/>
    <row r="239" ht="19.899999999999999" customHeight="1" x14ac:dyDescent="0.3"/>
    <row r="240" ht="19.899999999999999" customHeight="1" x14ac:dyDescent="0.3"/>
    <row r="241" ht="19.899999999999999" customHeight="1" x14ac:dyDescent="0.3"/>
    <row r="242" ht="19.899999999999999" customHeight="1" x14ac:dyDescent="0.3"/>
    <row r="243" ht="19.899999999999999" customHeight="1" x14ac:dyDescent="0.3"/>
    <row r="244" ht="19.899999999999999" customHeight="1" x14ac:dyDescent="0.3"/>
    <row r="245" ht="19.899999999999999" customHeight="1" x14ac:dyDescent="0.3"/>
    <row r="246" ht="19.899999999999999" customHeight="1" x14ac:dyDescent="0.3"/>
    <row r="247" ht="19.899999999999999" customHeight="1" x14ac:dyDescent="0.3"/>
    <row r="248" ht="19.899999999999999" customHeight="1" x14ac:dyDescent="0.3"/>
  </sheetData>
  <mergeCells count="194">
    <mergeCell ref="A42:L51"/>
    <mergeCell ref="M42:R42"/>
    <mergeCell ref="S42:X42"/>
    <mergeCell ref="M44:X44"/>
    <mergeCell ref="M45:O45"/>
    <mergeCell ref="P45:R45"/>
    <mergeCell ref="S45:X45"/>
    <mergeCell ref="M46:O46"/>
    <mergeCell ref="P46:R46"/>
    <mergeCell ref="S46:X46"/>
    <mergeCell ref="M50:O51"/>
    <mergeCell ref="P50:X50"/>
    <mergeCell ref="P51:X51"/>
    <mergeCell ref="M47:O47"/>
    <mergeCell ref="P47:R47"/>
    <mergeCell ref="S47:X47"/>
    <mergeCell ref="M48:O48"/>
    <mergeCell ref="P48:R48"/>
    <mergeCell ref="S48:X48"/>
    <mergeCell ref="W38:X38"/>
    <mergeCell ref="M39:X39"/>
    <mergeCell ref="A40:L40"/>
    <mergeCell ref="M40:R40"/>
    <mergeCell ref="S40:X40"/>
    <mergeCell ref="A41:L41"/>
    <mergeCell ref="M41:R41"/>
    <mergeCell ref="S41:X41"/>
    <mergeCell ref="M37:N37"/>
    <mergeCell ref="O37:P37"/>
    <mergeCell ref="Q37:R37"/>
    <mergeCell ref="S37:T37"/>
    <mergeCell ref="U37:V37"/>
    <mergeCell ref="W37:X37"/>
    <mergeCell ref="S36:T36"/>
    <mergeCell ref="U36:V36"/>
    <mergeCell ref="W36:X36"/>
    <mergeCell ref="M35:N35"/>
    <mergeCell ref="O35:P35"/>
    <mergeCell ref="Q35:R35"/>
    <mergeCell ref="S35:T35"/>
    <mergeCell ref="U35:V35"/>
    <mergeCell ref="W35:X35"/>
    <mergeCell ref="A31:L31"/>
    <mergeCell ref="M31:X31"/>
    <mergeCell ref="A32:L39"/>
    <mergeCell ref="M32:N32"/>
    <mergeCell ref="O32:P32"/>
    <mergeCell ref="Q32:R32"/>
    <mergeCell ref="S32:T32"/>
    <mergeCell ref="U32:V32"/>
    <mergeCell ref="W32:X32"/>
    <mergeCell ref="M34:N34"/>
    <mergeCell ref="O34:P34"/>
    <mergeCell ref="Q34:R34"/>
    <mergeCell ref="S34:T34"/>
    <mergeCell ref="U34:V34"/>
    <mergeCell ref="W34:X34"/>
    <mergeCell ref="M33:N33"/>
    <mergeCell ref="O33:P33"/>
    <mergeCell ref="Q33:R33"/>
    <mergeCell ref="S33:T33"/>
    <mergeCell ref="U33:V33"/>
    <mergeCell ref="W33:X33"/>
    <mergeCell ref="M36:N36"/>
    <mergeCell ref="O36:P36"/>
    <mergeCell ref="Q36:R36"/>
    <mergeCell ref="A28:I28"/>
    <mergeCell ref="J28:M28"/>
    <mergeCell ref="N28:O28"/>
    <mergeCell ref="Q28:T28"/>
    <mergeCell ref="U28:X28"/>
    <mergeCell ref="A29:C29"/>
    <mergeCell ref="D29:I29"/>
    <mergeCell ref="J29:M29"/>
    <mergeCell ref="N29:O29"/>
    <mergeCell ref="Q29:T29"/>
    <mergeCell ref="U29:X29"/>
    <mergeCell ref="N26:O26"/>
    <mergeCell ref="Q26:T26"/>
    <mergeCell ref="U26:X26"/>
    <mergeCell ref="J27:M27"/>
    <mergeCell ref="N27:O27"/>
    <mergeCell ref="Q27:T27"/>
    <mergeCell ref="U27:X27"/>
    <mergeCell ref="A26:C27"/>
    <mergeCell ref="D26:D27"/>
    <mergeCell ref="E26:E27"/>
    <mergeCell ref="F26:F27"/>
    <mergeCell ref="G26:I27"/>
    <mergeCell ref="J26:M26"/>
    <mergeCell ref="A24:D25"/>
    <mergeCell ref="E24:K25"/>
    <mergeCell ref="L24:L25"/>
    <mergeCell ref="M24:P24"/>
    <mergeCell ref="Q24:W24"/>
    <mergeCell ref="M25:P25"/>
    <mergeCell ref="Q25:W25"/>
    <mergeCell ref="E22:K22"/>
    <mergeCell ref="O22:P22"/>
    <mergeCell ref="Q22:W22"/>
    <mergeCell ref="A23:D23"/>
    <mergeCell ref="E23:F23"/>
    <mergeCell ref="I23:J23"/>
    <mergeCell ref="O23:P23"/>
    <mergeCell ref="Q23:W23"/>
    <mergeCell ref="A20:D20"/>
    <mergeCell ref="E20:K20"/>
    <mergeCell ref="M20:N23"/>
    <mergeCell ref="O20:P20"/>
    <mergeCell ref="Q20:X20"/>
    <mergeCell ref="A21:D21"/>
    <mergeCell ref="E21:H21"/>
    <mergeCell ref="J21:K21"/>
    <mergeCell ref="O21:P21"/>
    <mergeCell ref="A22:D22"/>
    <mergeCell ref="A17:X17"/>
    <mergeCell ref="A18:D18"/>
    <mergeCell ref="E18:L18"/>
    <mergeCell ref="M18:P18"/>
    <mergeCell ref="Q18:W18"/>
    <mergeCell ref="A19:D19"/>
    <mergeCell ref="E19:K19"/>
    <mergeCell ref="M19:P19"/>
    <mergeCell ref="Q19:W19"/>
    <mergeCell ref="U14:W14"/>
    <mergeCell ref="D15:G15"/>
    <mergeCell ref="H15:J15"/>
    <mergeCell ref="K15:M15"/>
    <mergeCell ref="N15:P15"/>
    <mergeCell ref="Q15:S15"/>
    <mergeCell ref="U15:W15"/>
    <mergeCell ref="U12:W12"/>
    <mergeCell ref="D13:G13"/>
    <mergeCell ref="H13:J13"/>
    <mergeCell ref="K13:M13"/>
    <mergeCell ref="N13:P13"/>
    <mergeCell ref="Q13:S13"/>
    <mergeCell ref="U13:W13"/>
    <mergeCell ref="A12:C15"/>
    <mergeCell ref="D12:G12"/>
    <mergeCell ref="H12:J12"/>
    <mergeCell ref="K12:M12"/>
    <mergeCell ref="N12:P12"/>
    <mergeCell ref="Q12:S12"/>
    <mergeCell ref="D14:G14"/>
    <mergeCell ref="H14:J14"/>
    <mergeCell ref="K14:M14"/>
    <mergeCell ref="N14:P14"/>
    <mergeCell ref="Q14:S14"/>
    <mergeCell ref="D10:G10"/>
    <mergeCell ref="H10:J10"/>
    <mergeCell ref="O10:P10"/>
    <mergeCell ref="R10:S10"/>
    <mergeCell ref="T10:X10"/>
    <mergeCell ref="D11:G11"/>
    <mergeCell ref="H11:J11"/>
    <mergeCell ref="L11:N11"/>
    <mergeCell ref="O11:X11"/>
    <mergeCell ref="A7:C11"/>
    <mergeCell ref="D7:G9"/>
    <mergeCell ref="H7:K8"/>
    <mergeCell ref="L7:N8"/>
    <mergeCell ref="O7:R7"/>
    <mergeCell ref="T7:W8"/>
    <mergeCell ref="L4:N5"/>
    <mergeCell ref="O4:P4"/>
    <mergeCell ref="R4:S4"/>
    <mergeCell ref="T4:X4"/>
    <mergeCell ref="D5:G5"/>
    <mergeCell ref="H5:J5"/>
    <mergeCell ref="O5:P5"/>
    <mergeCell ref="R5:S5"/>
    <mergeCell ref="T5:X5"/>
    <mergeCell ref="X7:X8"/>
    <mergeCell ref="O8:R8"/>
    <mergeCell ref="H9:K9"/>
    <mergeCell ref="L9:N10"/>
    <mergeCell ref="O9:P9"/>
    <mergeCell ref="R9:S9"/>
    <mergeCell ref="T9:X9"/>
    <mergeCell ref="D6:G6"/>
    <mergeCell ref="H6:J6"/>
    <mergeCell ref="A1:X1"/>
    <mergeCell ref="A2:C6"/>
    <mergeCell ref="D2:G4"/>
    <mergeCell ref="H2:K3"/>
    <mergeCell ref="L2:N3"/>
    <mergeCell ref="O2:R2"/>
    <mergeCell ref="T2:W3"/>
    <mergeCell ref="X2:X3"/>
    <mergeCell ref="O3:R3"/>
    <mergeCell ref="H4:K4"/>
    <mergeCell ref="L6:N6"/>
    <mergeCell ref="O6:X6"/>
  </mergeCells>
  <phoneticPr fontId="6" type="noConversion"/>
  <pageMargins left="0.7" right="0.7" top="0.75" bottom="0.75" header="0.3" footer="0.3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1FC2-1E50-4077-B37B-59F8857B5CEB}">
  <dimension ref="A1:X189"/>
  <sheetViews>
    <sheetView view="pageBreakPreview" zoomScale="85" zoomScaleNormal="96" zoomScaleSheetLayoutView="85" zoomScalePageLayoutView="40" workbookViewId="0">
      <selection activeCell="AF17" sqref="AF17"/>
    </sheetView>
  </sheetViews>
  <sheetFormatPr defaultColWidth="8.75" defaultRowHeight="12" x14ac:dyDescent="0.3"/>
  <cols>
    <col min="1" max="11" width="4.125" style="61" customWidth="1"/>
    <col min="12" max="12" width="8.25" style="61" customWidth="1"/>
    <col min="13" max="23" width="4.125" style="61" customWidth="1"/>
    <col min="24" max="24" width="8.625" style="61" customWidth="1"/>
    <col min="25" max="45" width="3.75" style="61" customWidth="1"/>
    <col min="46" max="16384" width="8.75" style="61"/>
  </cols>
  <sheetData>
    <row r="1" spans="1:24" ht="57.75" customHeight="1" x14ac:dyDescent="0.3">
      <c r="A1" s="397"/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7"/>
      <c r="W1" s="397"/>
      <c r="X1" s="397"/>
    </row>
    <row r="2" spans="1:24" ht="49.5" customHeight="1" x14ac:dyDescent="0.3">
      <c r="A2" s="398" t="s">
        <v>252</v>
      </c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400"/>
      <c r="M2" s="401" t="s">
        <v>253</v>
      </c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402"/>
    </row>
    <row r="3" spans="1:24" ht="25.15" customHeight="1" x14ac:dyDescent="0.3">
      <c r="A3" s="403" t="s">
        <v>254</v>
      </c>
      <c r="B3" s="404"/>
      <c r="C3" s="405"/>
      <c r="D3" s="406" t="s">
        <v>255</v>
      </c>
      <c r="E3" s="228"/>
      <c r="F3" s="228"/>
      <c r="G3" s="228"/>
      <c r="H3" s="228"/>
      <c r="I3" s="228"/>
      <c r="J3" s="228"/>
      <c r="K3" s="228"/>
      <c r="L3" s="407"/>
      <c r="M3" s="403" t="s">
        <v>254</v>
      </c>
      <c r="N3" s="404"/>
      <c r="O3" s="405"/>
      <c r="P3" s="408" t="s">
        <v>256</v>
      </c>
      <c r="Q3" s="409"/>
      <c r="R3" s="409"/>
      <c r="S3" s="409"/>
      <c r="T3" s="409"/>
      <c r="U3" s="409"/>
      <c r="V3" s="409"/>
      <c r="W3" s="409"/>
      <c r="X3" s="410"/>
    </row>
    <row r="4" spans="1:24" ht="25.15" customHeight="1" x14ac:dyDescent="0.3">
      <c r="A4" s="321" t="s">
        <v>257</v>
      </c>
      <c r="B4" s="217"/>
      <c r="C4" s="323"/>
      <c r="D4" s="394" t="s">
        <v>258</v>
      </c>
      <c r="E4" s="395"/>
      <c r="F4" s="395"/>
      <c r="G4" s="395"/>
      <c r="H4" s="395"/>
      <c r="I4" s="396"/>
      <c r="J4" s="293">
        <f>'[42]1-2. 양중작업계획서(크레인)'!F19</f>
        <v>40</v>
      </c>
      <c r="K4" s="284"/>
      <c r="L4" s="81" t="s">
        <v>185</v>
      </c>
      <c r="M4" s="321" t="s">
        <v>257</v>
      </c>
      <c r="N4" s="217"/>
      <c r="O4" s="323"/>
      <c r="P4" s="282" t="s">
        <v>259</v>
      </c>
      <c r="Q4" s="283"/>
      <c r="R4" s="283"/>
      <c r="S4" s="283"/>
      <c r="T4" s="284"/>
      <c r="U4" s="293"/>
      <c r="V4" s="283"/>
      <c r="W4" s="284"/>
      <c r="X4" s="110" t="s">
        <v>185</v>
      </c>
    </row>
    <row r="5" spans="1:24" ht="25.15" customHeight="1" x14ac:dyDescent="0.3">
      <c r="A5" s="321" t="s">
        <v>260</v>
      </c>
      <c r="B5" s="217"/>
      <c r="C5" s="323"/>
      <c r="D5" s="394" t="s">
        <v>217</v>
      </c>
      <c r="E5" s="395"/>
      <c r="F5" s="395"/>
      <c r="G5" s="395"/>
      <c r="H5" s="395"/>
      <c r="I5" s="396"/>
      <c r="J5" s="293">
        <f>'[42]1-2. 양중작업계획서(크레인)'!R25</f>
        <v>3.2</v>
      </c>
      <c r="K5" s="283"/>
      <c r="L5" s="82" t="s">
        <v>185</v>
      </c>
      <c r="M5" s="321" t="s">
        <v>260</v>
      </c>
      <c r="N5" s="217"/>
      <c r="O5" s="323"/>
      <c r="P5" s="282" t="s">
        <v>217</v>
      </c>
      <c r="Q5" s="283"/>
      <c r="R5" s="283"/>
      <c r="S5" s="283"/>
      <c r="T5" s="284"/>
      <c r="U5" s="293"/>
      <c r="V5" s="283"/>
      <c r="W5" s="283"/>
      <c r="X5" s="111" t="s">
        <v>185</v>
      </c>
    </row>
    <row r="6" spans="1:24" ht="25.15" customHeight="1" x14ac:dyDescent="0.3">
      <c r="A6" s="321" t="s">
        <v>261</v>
      </c>
      <c r="B6" s="217"/>
      <c r="C6" s="323"/>
      <c r="D6" s="83" t="s">
        <v>262</v>
      </c>
      <c r="E6" s="90">
        <v>1.5</v>
      </c>
      <c r="F6" s="84" t="s">
        <v>263</v>
      </c>
      <c r="G6" s="66" t="s">
        <v>264</v>
      </c>
      <c r="H6" s="90">
        <v>1.5</v>
      </c>
      <c r="I6" s="84" t="s">
        <v>263</v>
      </c>
      <c r="J6" s="293">
        <f>E6*H6</f>
        <v>2.25</v>
      </c>
      <c r="K6" s="284"/>
      <c r="L6" s="85" t="s">
        <v>265</v>
      </c>
      <c r="M6" s="411" t="s">
        <v>266</v>
      </c>
      <c r="N6" s="217"/>
      <c r="O6" s="323"/>
      <c r="P6" s="282" t="s">
        <v>267</v>
      </c>
      <c r="Q6" s="283"/>
      <c r="R6" s="283"/>
      <c r="S6" s="283"/>
      <c r="T6" s="283"/>
      <c r="U6" s="283"/>
      <c r="V6" s="283"/>
      <c r="W6" s="283"/>
      <c r="X6" s="289"/>
    </row>
    <row r="7" spans="1:24" ht="25.15" customHeight="1" x14ac:dyDescent="0.3">
      <c r="A7" s="321" t="s">
        <v>268</v>
      </c>
      <c r="B7" s="217"/>
      <c r="C7" s="323"/>
      <c r="D7" s="412">
        <f>0.85*(J4+J5)*1.3*0.5*1.5</f>
        <v>35.802</v>
      </c>
      <c r="E7" s="413"/>
      <c r="F7" s="413"/>
      <c r="G7" s="413"/>
      <c r="H7" s="413"/>
      <c r="I7" s="413"/>
      <c r="J7" s="413"/>
      <c r="K7" s="414"/>
      <c r="L7" s="86" t="s">
        <v>269</v>
      </c>
      <c r="M7" s="321"/>
      <c r="N7" s="217"/>
      <c r="O7" s="323"/>
      <c r="P7" s="282"/>
      <c r="Q7" s="283"/>
      <c r="R7" s="283"/>
      <c r="S7" s="283"/>
      <c r="T7" s="283"/>
      <c r="U7" s="283"/>
      <c r="V7" s="283"/>
      <c r="W7" s="284"/>
      <c r="X7" s="112" t="s">
        <v>200</v>
      </c>
    </row>
    <row r="8" spans="1:24" ht="39" customHeight="1" x14ac:dyDescent="0.3">
      <c r="A8" s="394" t="s">
        <v>270</v>
      </c>
      <c r="B8" s="395"/>
      <c r="C8" s="415"/>
      <c r="D8" s="416">
        <f>D7/J6</f>
        <v>15.911999999999999</v>
      </c>
      <c r="E8" s="417"/>
      <c r="F8" s="417"/>
      <c r="G8" s="417"/>
      <c r="H8" s="417"/>
      <c r="I8" s="417"/>
      <c r="J8" s="417"/>
      <c r="K8" s="418"/>
      <c r="L8" s="86" t="s">
        <v>269</v>
      </c>
      <c r="M8" s="394" t="s">
        <v>270</v>
      </c>
      <c r="N8" s="395"/>
      <c r="O8" s="415"/>
      <c r="P8" s="419" t="str">
        <f>IFERROR((U4)/P7,"N/A")</f>
        <v>N/A</v>
      </c>
      <c r="Q8" s="420"/>
      <c r="R8" s="420"/>
      <c r="S8" s="420"/>
      <c r="T8" s="420"/>
      <c r="U8" s="420"/>
      <c r="V8" s="421"/>
      <c r="W8" s="422" t="s">
        <v>269</v>
      </c>
      <c r="X8" s="423"/>
    </row>
    <row r="9" spans="1:24" ht="41.25" customHeight="1" x14ac:dyDescent="0.3">
      <c r="A9" s="424" t="s">
        <v>271</v>
      </c>
      <c r="B9" s="425"/>
      <c r="C9" s="426"/>
      <c r="D9" s="427">
        <v>30</v>
      </c>
      <c r="E9" s="428"/>
      <c r="F9" s="428"/>
      <c r="G9" s="428"/>
      <c r="H9" s="428"/>
      <c r="I9" s="428"/>
      <c r="J9" s="428"/>
      <c r="K9" s="429"/>
      <c r="L9" s="114" t="s">
        <v>269</v>
      </c>
      <c r="M9" s="424" t="s">
        <v>271</v>
      </c>
      <c r="N9" s="425"/>
      <c r="O9" s="426"/>
      <c r="P9" s="430"/>
      <c r="Q9" s="431"/>
      <c r="R9" s="431"/>
      <c r="S9" s="431"/>
      <c r="T9" s="431"/>
      <c r="U9" s="431"/>
      <c r="V9" s="432"/>
      <c r="W9" s="433" t="s">
        <v>269</v>
      </c>
      <c r="X9" s="434"/>
    </row>
    <row r="10" spans="1:24" ht="47.25" customHeight="1" x14ac:dyDescent="0.3">
      <c r="A10" s="435" t="s">
        <v>272</v>
      </c>
      <c r="B10" s="436"/>
      <c r="C10" s="436"/>
      <c r="D10" s="436"/>
      <c r="E10" s="436"/>
      <c r="F10" s="436"/>
      <c r="G10" s="436"/>
      <c r="H10" s="436"/>
      <c r="I10" s="437">
        <f>D8</f>
        <v>15.911999999999999</v>
      </c>
      <c r="J10" s="438"/>
      <c r="K10" s="438"/>
      <c r="L10" s="113" t="s">
        <v>273</v>
      </c>
      <c r="M10" s="439" t="s">
        <v>274</v>
      </c>
      <c r="N10" s="439"/>
      <c r="O10" s="439"/>
      <c r="P10" s="438">
        <f>D9</f>
        <v>30</v>
      </c>
      <c r="Q10" s="438"/>
      <c r="R10" s="438"/>
      <c r="S10" s="113" t="s">
        <v>273</v>
      </c>
      <c r="T10" s="113"/>
      <c r="U10" s="440" t="s">
        <v>275</v>
      </c>
      <c r="V10" s="440"/>
      <c r="W10" s="440"/>
      <c r="X10" s="441"/>
    </row>
    <row r="11" spans="1:24" ht="47.25" customHeight="1" x14ac:dyDescent="0.3">
      <c r="A11" s="442" t="s">
        <v>225</v>
      </c>
      <c r="B11" s="443"/>
      <c r="C11" s="443"/>
      <c r="D11" s="443" t="str">
        <f>IF(I10&lt;P10,"OK","NG")</f>
        <v>OK</v>
      </c>
      <c r="E11" s="443"/>
      <c r="F11" s="443"/>
      <c r="G11" s="443"/>
      <c r="H11" s="443"/>
      <c r="I11" s="443"/>
      <c r="J11" s="443"/>
      <c r="K11" s="443"/>
      <c r="L11" s="444"/>
      <c r="M11" s="442" t="s">
        <v>225</v>
      </c>
      <c r="N11" s="443"/>
      <c r="O11" s="443"/>
      <c r="P11" s="443" t="s">
        <v>276</v>
      </c>
      <c r="Q11" s="443"/>
      <c r="R11" s="443"/>
      <c r="S11" s="443"/>
      <c r="T11" s="443"/>
      <c r="U11" s="443"/>
      <c r="V11" s="443"/>
      <c r="W11" s="443"/>
      <c r="X11" s="445"/>
    </row>
    <row r="12" spans="1:24" ht="6" customHeight="1" x14ac:dyDescent="0.3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</row>
    <row r="13" spans="1:24" ht="34.5" customHeight="1" x14ac:dyDescent="0.3">
      <c r="A13" s="446" t="s">
        <v>277</v>
      </c>
      <c r="B13" s="447"/>
      <c r="C13" s="447"/>
      <c r="D13" s="447"/>
      <c r="E13" s="447"/>
      <c r="F13" s="447"/>
      <c r="G13" s="447"/>
      <c r="H13" s="447"/>
      <c r="I13" s="447"/>
      <c r="J13" s="447"/>
      <c r="K13" s="447"/>
      <c r="L13" s="447"/>
      <c r="M13" s="447"/>
      <c r="N13" s="447"/>
      <c r="O13" s="447"/>
      <c r="P13" s="447"/>
      <c r="Q13" s="447"/>
      <c r="R13" s="447"/>
      <c r="S13" s="447"/>
      <c r="T13" s="447"/>
      <c r="U13" s="447"/>
      <c r="V13" s="447"/>
      <c r="W13" s="447"/>
      <c r="X13" s="448"/>
    </row>
    <row r="14" spans="1:24" ht="25.15" customHeight="1" x14ac:dyDescent="0.3">
      <c r="A14" s="449" t="s">
        <v>278</v>
      </c>
      <c r="B14" s="449"/>
      <c r="C14" s="449"/>
      <c r="D14" s="449"/>
      <c r="E14" s="449"/>
      <c r="F14" s="449"/>
      <c r="G14" s="449"/>
      <c r="H14" s="449"/>
      <c r="I14" s="449"/>
      <c r="J14" s="449"/>
      <c r="K14" s="449"/>
      <c r="L14" s="342"/>
      <c r="M14" s="449" t="s">
        <v>279</v>
      </c>
      <c r="N14" s="449"/>
      <c r="O14" s="449"/>
      <c r="P14" s="449"/>
      <c r="Q14" s="449"/>
      <c r="R14" s="449"/>
      <c r="S14" s="450"/>
      <c r="T14" s="450"/>
      <c r="U14" s="450"/>
      <c r="V14" s="450"/>
      <c r="W14" s="450"/>
      <c r="X14" s="450"/>
    </row>
    <row r="15" spans="1:24" ht="25.15" customHeight="1" x14ac:dyDescent="0.3">
      <c r="A15" s="450"/>
      <c r="B15" s="450"/>
      <c r="C15" s="450"/>
      <c r="D15" s="450"/>
      <c r="E15" s="450"/>
      <c r="F15" s="450"/>
      <c r="G15" s="450"/>
      <c r="H15" s="450"/>
      <c r="I15" s="450"/>
      <c r="J15" s="450"/>
      <c r="K15" s="450"/>
      <c r="L15" s="260"/>
      <c r="M15" s="450" t="s">
        <v>280</v>
      </c>
      <c r="N15" s="450"/>
      <c r="O15" s="450"/>
      <c r="P15" s="450"/>
      <c r="Q15" s="450"/>
      <c r="R15" s="260"/>
      <c r="S15" s="449" t="s">
        <v>281</v>
      </c>
      <c r="T15" s="449"/>
      <c r="U15" s="449"/>
      <c r="V15" s="449"/>
      <c r="W15" s="449"/>
      <c r="X15" s="449"/>
    </row>
    <row r="16" spans="1:24" ht="25.15" customHeight="1" x14ac:dyDescent="0.3">
      <c r="A16" s="451" t="s">
        <v>282</v>
      </c>
      <c r="B16" s="452"/>
      <c r="C16" s="452"/>
      <c r="D16" s="452"/>
      <c r="E16" s="452"/>
      <c r="F16" s="452"/>
      <c r="G16" s="452"/>
      <c r="H16" s="452"/>
      <c r="I16" s="452"/>
      <c r="J16" s="452"/>
      <c r="K16" s="452"/>
      <c r="L16" s="453"/>
      <c r="M16" s="454" t="s">
        <v>283</v>
      </c>
      <c r="N16" s="455"/>
      <c r="O16" s="455"/>
      <c r="P16" s="455" t="s">
        <v>284</v>
      </c>
      <c r="Q16" s="455"/>
      <c r="R16" s="455"/>
      <c r="S16" s="456" t="s">
        <v>285</v>
      </c>
      <c r="T16" s="456"/>
      <c r="U16" s="457"/>
      <c r="V16" s="455" t="s">
        <v>286</v>
      </c>
      <c r="W16" s="455"/>
      <c r="X16" s="458"/>
    </row>
    <row r="17" spans="1:24" ht="25.15" customHeight="1" thickBot="1" x14ac:dyDescent="0.35">
      <c r="A17" s="459" t="s">
        <v>287</v>
      </c>
      <c r="B17" s="460"/>
      <c r="C17" s="460"/>
      <c r="D17" s="460"/>
      <c r="E17" s="460"/>
      <c r="F17" s="460"/>
      <c r="G17" s="460"/>
      <c r="H17" s="460"/>
      <c r="I17" s="460"/>
      <c r="J17" s="460"/>
      <c r="K17" s="460"/>
      <c r="L17" s="461"/>
      <c r="M17" s="462" t="s">
        <v>288</v>
      </c>
      <c r="N17" s="463"/>
      <c r="O17" s="463"/>
      <c r="P17" s="463" t="s">
        <v>289</v>
      </c>
      <c r="Q17" s="463"/>
      <c r="R17" s="463"/>
      <c r="S17" s="463" t="s">
        <v>290</v>
      </c>
      <c r="T17" s="463"/>
      <c r="U17" s="464"/>
      <c r="V17" s="463" t="s">
        <v>291</v>
      </c>
      <c r="W17" s="463"/>
      <c r="X17" s="465"/>
    </row>
    <row r="18" spans="1:24" ht="25.15" customHeight="1" x14ac:dyDescent="0.3">
      <c r="A18" s="466" t="s">
        <v>292</v>
      </c>
      <c r="B18" s="467"/>
      <c r="C18" s="467"/>
      <c r="D18" s="467"/>
      <c r="E18" s="467"/>
      <c r="F18" s="467"/>
      <c r="G18" s="467"/>
      <c r="H18" s="467"/>
      <c r="I18" s="467"/>
      <c r="J18" s="467"/>
      <c r="K18" s="467"/>
      <c r="L18" s="468"/>
      <c r="M18" s="469" t="s">
        <v>293</v>
      </c>
      <c r="N18" s="470"/>
      <c r="O18" s="470"/>
      <c r="P18" s="470" t="s">
        <v>294</v>
      </c>
      <c r="Q18" s="470"/>
      <c r="R18" s="470"/>
      <c r="S18" s="470" t="s">
        <v>295</v>
      </c>
      <c r="T18" s="470"/>
      <c r="U18" s="471"/>
      <c r="V18" s="472" t="s">
        <v>296</v>
      </c>
      <c r="W18" s="472"/>
      <c r="X18" s="473"/>
    </row>
    <row r="19" spans="1:24" ht="25.15" customHeight="1" x14ac:dyDescent="0.3">
      <c r="A19" s="474" t="s">
        <v>297</v>
      </c>
      <c r="B19" s="475"/>
      <c r="C19" s="475"/>
      <c r="D19" s="475"/>
      <c r="E19" s="475"/>
      <c r="F19" s="475"/>
      <c r="G19" s="475"/>
      <c r="H19" s="475"/>
      <c r="I19" s="475"/>
      <c r="J19" s="475"/>
      <c r="K19" s="475"/>
      <c r="L19" s="476"/>
      <c r="M19" s="477" t="s">
        <v>298</v>
      </c>
      <c r="N19" s="478"/>
      <c r="O19" s="478"/>
      <c r="P19" s="478" t="s">
        <v>299</v>
      </c>
      <c r="Q19" s="478"/>
      <c r="R19" s="478"/>
      <c r="S19" s="478" t="s">
        <v>300</v>
      </c>
      <c r="T19" s="478"/>
      <c r="U19" s="479"/>
      <c r="V19" s="480" t="s">
        <v>301</v>
      </c>
      <c r="W19" s="480"/>
      <c r="X19" s="481"/>
    </row>
    <row r="20" spans="1:24" ht="25.15" customHeight="1" thickBot="1" x14ac:dyDescent="0.35">
      <c r="A20" s="482" t="s">
        <v>302</v>
      </c>
      <c r="B20" s="483"/>
      <c r="C20" s="483"/>
      <c r="D20" s="483"/>
      <c r="E20" s="483"/>
      <c r="F20" s="483"/>
      <c r="G20" s="483"/>
      <c r="H20" s="483"/>
      <c r="I20" s="483"/>
      <c r="J20" s="483"/>
      <c r="K20" s="483"/>
      <c r="L20" s="484"/>
      <c r="M20" s="485" t="s">
        <v>303</v>
      </c>
      <c r="N20" s="486"/>
      <c r="O20" s="486"/>
      <c r="P20" s="486" t="s">
        <v>304</v>
      </c>
      <c r="Q20" s="486"/>
      <c r="R20" s="486"/>
      <c r="S20" s="486" t="s">
        <v>298</v>
      </c>
      <c r="T20" s="486"/>
      <c r="U20" s="487"/>
      <c r="V20" s="488" t="s">
        <v>299</v>
      </c>
      <c r="W20" s="488"/>
      <c r="X20" s="489"/>
    </row>
    <row r="21" spans="1:24" ht="25.15" customHeight="1" x14ac:dyDescent="0.3">
      <c r="A21" s="490" t="s">
        <v>305</v>
      </c>
      <c r="B21" s="491"/>
      <c r="C21" s="491"/>
      <c r="D21" s="491"/>
      <c r="E21" s="491"/>
      <c r="F21" s="491"/>
      <c r="G21" s="491"/>
      <c r="H21" s="491"/>
      <c r="I21" s="491"/>
      <c r="J21" s="491"/>
      <c r="K21" s="491"/>
      <c r="L21" s="492"/>
      <c r="M21" s="493" t="s">
        <v>306</v>
      </c>
      <c r="N21" s="456"/>
      <c r="O21" s="456"/>
      <c r="P21" s="456" t="s">
        <v>307</v>
      </c>
      <c r="Q21" s="456"/>
      <c r="R21" s="456"/>
      <c r="S21" s="456" t="s">
        <v>308</v>
      </c>
      <c r="T21" s="456"/>
      <c r="U21" s="457"/>
      <c r="V21" s="456" t="s">
        <v>309</v>
      </c>
      <c r="W21" s="456"/>
      <c r="X21" s="494"/>
    </row>
    <row r="22" spans="1:24" ht="25.15" customHeight="1" x14ac:dyDescent="0.3">
      <c r="A22" s="495" t="s">
        <v>310</v>
      </c>
      <c r="B22" s="496"/>
      <c r="C22" s="496"/>
      <c r="D22" s="496"/>
      <c r="E22" s="496"/>
      <c r="F22" s="496"/>
      <c r="G22" s="496"/>
      <c r="H22" s="496"/>
      <c r="I22" s="496"/>
      <c r="J22" s="496"/>
      <c r="K22" s="496"/>
      <c r="L22" s="497"/>
      <c r="M22" s="498" t="s">
        <v>311</v>
      </c>
      <c r="N22" s="499"/>
      <c r="O22" s="499"/>
      <c r="P22" s="499" t="s">
        <v>312</v>
      </c>
      <c r="Q22" s="499"/>
      <c r="R22" s="499"/>
      <c r="S22" s="499" t="s">
        <v>306</v>
      </c>
      <c r="T22" s="499"/>
      <c r="U22" s="500"/>
      <c r="V22" s="499" t="s">
        <v>307</v>
      </c>
      <c r="W22" s="499"/>
      <c r="X22" s="501"/>
    </row>
    <row r="23" spans="1:24" ht="25.15" customHeight="1" x14ac:dyDescent="0.3">
      <c r="A23" s="495" t="s">
        <v>313</v>
      </c>
      <c r="B23" s="496"/>
      <c r="C23" s="496"/>
      <c r="D23" s="496"/>
      <c r="E23" s="496"/>
      <c r="F23" s="496"/>
      <c r="G23" s="496"/>
      <c r="H23" s="496"/>
      <c r="I23" s="496"/>
      <c r="J23" s="496"/>
      <c r="K23" s="496"/>
      <c r="L23" s="497"/>
      <c r="M23" s="495" t="s">
        <v>314</v>
      </c>
      <c r="N23" s="496"/>
      <c r="O23" s="496"/>
      <c r="P23" s="496"/>
      <c r="Q23" s="496"/>
      <c r="R23" s="496"/>
      <c r="S23" s="496" t="s">
        <v>315</v>
      </c>
      <c r="T23" s="496"/>
      <c r="U23" s="497"/>
      <c r="V23" s="496" t="s">
        <v>316</v>
      </c>
      <c r="W23" s="496"/>
      <c r="X23" s="502"/>
    </row>
    <row r="24" spans="1:24" ht="25.15" customHeight="1" x14ac:dyDescent="0.3">
      <c r="A24" s="495" t="s">
        <v>317</v>
      </c>
      <c r="B24" s="496"/>
      <c r="C24" s="496"/>
      <c r="D24" s="496"/>
      <c r="E24" s="496"/>
      <c r="F24" s="496"/>
      <c r="G24" s="496"/>
      <c r="H24" s="496"/>
      <c r="I24" s="496"/>
      <c r="J24" s="496"/>
      <c r="K24" s="496"/>
      <c r="L24" s="497"/>
      <c r="M24" s="498" t="s">
        <v>318</v>
      </c>
      <c r="N24" s="499"/>
      <c r="O24" s="499"/>
      <c r="P24" s="499" t="s">
        <v>319</v>
      </c>
      <c r="Q24" s="499"/>
      <c r="R24" s="499"/>
      <c r="S24" s="503">
        <v>5</v>
      </c>
      <c r="T24" s="503"/>
      <c r="U24" s="504"/>
      <c r="V24" s="499" t="s">
        <v>301</v>
      </c>
      <c r="W24" s="499"/>
      <c r="X24" s="501"/>
    </row>
    <row r="25" spans="1:24" ht="25.15" customHeight="1" x14ac:dyDescent="0.3">
      <c r="A25" s="506" t="s">
        <v>320</v>
      </c>
      <c r="B25" s="507"/>
      <c r="C25" s="507"/>
      <c r="D25" s="507"/>
      <c r="E25" s="507"/>
      <c r="F25" s="507"/>
      <c r="G25" s="507"/>
      <c r="H25" s="507"/>
      <c r="I25" s="507"/>
      <c r="J25" s="507"/>
      <c r="K25" s="507"/>
      <c r="L25" s="508"/>
      <c r="M25" s="509" t="s">
        <v>321</v>
      </c>
      <c r="N25" s="510"/>
      <c r="O25" s="510"/>
      <c r="P25" s="510" t="s">
        <v>322</v>
      </c>
      <c r="Q25" s="510"/>
      <c r="R25" s="510"/>
      <c r="S25" s="511">
        <v>3</v>
      </c>
      <c r="T25" s="511"/>
      <c r="U25" s="512"/>
      <c r="V25" s="510" t="s">
        <v>323</v>
      </c>
      <c r="W25" s="510"/>
      <c r="X25" s="513"/>
    </row>
    <row r="26" spans="1:24" ht="19.899999999999999" customHeight="1" x14ac:dyDescent="0.3">
      <c r="A26" s="514" t="s">
        <v>378</v>
      </c>
      <c r="B26" s="514"/>
      <c r="C26" s="514"/>
      <c r="D26" s="514"/>
      <c r="E26" s="514"/>
      <c r="F26" s="514"/>
      <c r="G26" s="514"/>
      <c r="H26" s="514"/>
      <c r="I26" s="514"/>
      <c r="J26" s="514"/>
      <c r="K26" s="514"/>
      <c r="L26" s="514"/>
      <c r="M26" s="514"/>
      <c r="N26" s="514"/>
      <c r="O26" s="514"/>
      <c r="P26" s="514"/>
      <c r="Q26" s="514"/>
      <c r="R26" s="514"/>
      <c r="S26" s="514"/>
      <c r="T26" s="514"/>
      <c r="U26" s="514"/>
      <c r="V26" s="514"/>
      <c r="W26" s="514"/>
      <c r="X26" s="514"/>
    </row>
    <row r="27" spans="1:24" ht="19.899999999999999" customHeight="1" x14ac:dyDescent="0.3">
      <c r="A27" s="505" t="s">
        <v>324</v>
      </c>
      <c r="B27" s="505"/>
      <c r="C27" s="505"/>
      <c r="D27" s="505"/>
      <c r="E27" s="505"/>
      <c r="F27" s="505"/>
      <c r="G27" s="505"/>
      <c r="H27" s="505"/>
      <c r="I27" s="505"/>
      <c r="J27" s="505"/>
      <c r="K27" s="505"/>
      <c r="L27" s="505"/>
      <c r="M27" s="505"/>
      <c r="N27" s="505"/>
      <c r="O27" s="505"/>
      <c r="P27" s="505"/>
      <c r="Q27" s="505"/>
      <c r="R27" s="505"/>
      <c r="S27" s="505"/>
      <c r="T27" s="505"/>
      <c r="U27" s="505"/>
      <c r="V27" s="505"/>
      <c r="W27" s="505"/>
      <c r="X27" s="505"/>
    </row>
    <row r="28" spans="1:24" ht="19.899999999999999" customHeight="1" x14ac:dyDescent="0.3">
      <c r="A28" s="505" t="s">
        <v>325</v>
      </c>
      <c r="B28" s="505"/>
      <c r="C28" s="505"/>
      <c r="D28" s="505"/>
      <c r="E28" s="505"/>
      <c r="F28" s="505"/>
      <c r="G28" s="505"/>
      <c r="H28" s="505"/>
      <c r="I28" s="505"/>
      <c r="J28" s="505"/>
      <c r="K28" s="505"/>
      <c r="L28" s="505"/>
      <c r="M28" s="505"/>
      <c r="N28" s="505"/>
      <c r="O28" s="505"/>
      <c r="P28" s="505"/>
      <c r="Q28" s="505"/>
      <c r="R28" s="505"/>
      <c r="S28" s="505"/>
      <c r="T28" s="505"/>
      <c r="U28" s="505"/>
      <c r="V28" s="505"/>
      <c r="W28" s="505"/>
      <c r="X28" s="505"/>
    </row>
    <row r="29" spans="1:24" ht="19.899999999999999" customHeight="1" x14ac:dyDescent="0.3">
      <c r="A29" s="505" t="s">
        <v>326</v>
      </c>
      <c r="B29" s="505"/>
      <c r="C29" s="505"/>
      <c r="D29" s="505"/>
      <c r="E29" s="505"/>
      <c r="F29" s="505"/>
      <c r="G29" s="505"/>
      <c r="H29" s="505"/>
      <c r="I29" s="505"/>
      <c r="J29" s="505"/>
      <c r="K29" s="505"/>
      <c r="L29" s="505"/>
      <c r="M29" s="505"/>
      <c r="N29" s="505"/>
      <c r="O29" s="505"/>
      <c r="P29" s="505"/>
      <c r="Q29" s="505"/>
      <c r="R29" s="505"/>
      <c r="S29" s="505"/>
      <c r="T29" s="505"/>
      <c r="U29" s="505"/>
      <c r="V29" s="505"/>
      <c r="W29" s="505"/>
      <c r="X29" s="505"/>
    </row>
    <row r="30" spans="1:24" ht="19.899999999999999" customHeight="1" x14ac:dyDescent="0.3">
      <c r="A30" s="505" t="s">
        <v>327</v>
      </c>
      <c r="B30" s="505"/>
      <c r="C30" s="505"/>
      <c r="D30" s="505"/>
      <c r="E30" s="505"/>
      <c r="F30" s="505"/>
      <c r="G30" s="505"/>
      <c r="H30" s="505"/>
      <c r="I30" s="505"/>
      <c r="J30" s="505"/>
      <c r="K30" s="505"/>
      <c r="L30" s="505"/>
      <c r="M30" s="505"/>
      <c r="N30" s="505"/>
      <c r="O30" s="505"/>
      <c r="P30" s="505"/>
      <c r="Q30" s="505"/>
      <c r="R30" s="505"/>
      <c r="S30" s="505"/>
      <c r="T30" s="505"/>
      <c r="U30" s="505"/>
      <c r="V30" s="505"/>
      <c r="W30" s="505"/>
      <c r="X30" s="505"/>
    </row>
    <row r="31" spans="1:24" ht="19.899999999999999" customHeight="1" x14ac:dyDescent="0.3"/>
    <row r="32" spans="1:24" ht="19.899999999999999" customHeight="1" x14ac:dyDescent="0.3"/>
    <row r="33" ht="19.899999999999999" customHeight="1" x14ac:dyDescent="0.3"/>
    <row r="34" ht="19.899999999999999" customHeight="1" x14ac:dyDescent="0.3"/>
    <row r="35" ht="19.899999999999999" customHeight="1" x14ac:dyDescent="0.3"/>
    <row r="36" ht="19.899999999999999" customHeight="1" x14ac:dyDescent="0.3"/>
    <row r="37" ht="19.899999999999999" customHeight="1" x14ac:dyDescent="0.3"/>
    <row r="38" ht="19.899999999999999" customHeight="1" x14ac:dyDescent="0.3"/>
    <row r="39" ht="19.899999999999999" customHeight="1" x14ac:dyDescent="0.3"/>
    <row r="40" ht="19.899999999999999" customHeight="1" x14ac:dyDescent="0.3"/>
    <row r="41" ht="19.899999999999999" customHeight="1" x14ac:dyDescent="0.3"/>
    <row r="42" ht="19.899999999999999" customHeight="1" x14ac:dyDescent="0.3"/>
    <row r="43" ht="19.899999999999999" customHeight="1" x14ac:dyDescent="0.3"/>
    <row r="44" ht="19.899999999999999" customHeight="1" x14ac:dyDescent="0.3"/>
    <row r="45" ht="19.899999999999999" customHeight="1" x14ac:dyDescent="0.3"/>
    <row r="46" ht="19.899999999999999" customHeight="1" x14ac:dyDescent="0.3"/>
    <row r="47" ht="19.899999999999999" customHeight="1" x14ac:dyDescent="0.3"/>
    <row r="48" ht="19.899999999999999" customHeight="1" x14ac:dyDescent="0.3"/>
    <row r="49" ht="19.899999999999999" customHeight="1" x14ac:dyDescent="0.3"/>
    <row r="50" ht="19.899999999999999" customHeight="1" x14ac:dyDescent="0.3"/>
    <row r="51" ht="19.899999999999999" customHeight="1" x14ac:dyDescent="0.3"/>
    <row r="52" ht="19.899999999999999" customHeight="1" x14ac:dyDescent="0.3"/>
    <row r="53" ht="19.899999999999999" customHeight="1" x14ac:dyDescent="0.3"/>
    <row r="54" ht="19.899999999999999" customHeight="1" x14ac:dyDescent="0.3"/>
    <row r="55" ht="19.899999999999999" customHeight="1" x14ac:dyDescent="0.3"/>
    <row r="56" ht="19.899999999999999" customHeight="1" x14ac:dyDescent="0.3"/>
    <row r="57" ht="19.899999999999999" customHeight="1" x14ac:dyDescent="0.3"/>
    <row r="58" ht="19.899999999999999" customHeight="1" x14ac:dyDescent="0.3"/>
    <row r="59" ht="19.899999999999999" customHeight="1" x14ac:dyDescent="0.3"/>
    <row r="60" ht="19.899999999999999" customHeight="1" x14ac:dyDescent="0.3"/>
    <row r="61" ht="19.899999999999999" customHeight="1" x14ac:dyDescent="0.3"/>
    <row r="62" ht="19.899999999999999" customHeight="1" x14ac:dyDescent="0.3"/>
    <row r="63" ht="19.899999999999999" customHeight="1" x14ac:dyDescent="0.3"/>
    <row r="64" ht="19.899999999999999" customHeight="1" x14ac:dyDescent="0.3"/>
    <row r="65" ht="19.899999999999999" customHeight="1" x14ac:dyDescent="0.3"/>
    <row r="66" ht="19.899999999999999" customHeight="1" x14ac:dyDescent="0.3"/>
    <row r="67" ht="19.899999999999999" customHeight="1" x14ac:dyDescent="0.3"/>
    <row r="68" ht="19.899999999999999" customHeight="1" x14ac:dyDescent="0.3"/>
    <row r="69" ht="19.899999999999999" customHeight="1" x14ac:dyDescent="0.3"/>
    <row r="70" ht="19.899999999999999" customHeight="1" x14ac:dyDescent="0.3"/>
    <row r="71" ht="19.899999999999999" customHeight="1" x14ac:dyDescent="0.3"/>
    <row r="72" ht="19.899999999999999" customHeight="1" x14ac:dyDescent="0.3"/>
    <row r="73" ht="19.899999999999999" customHeight="1" x14ac:dyDescent="0.3"/>
    <row r="74" ht="19.899999999999999" customHeight="1" x14ac:dyDescent="0.3"/>
    <row r="75" ht="19.899999999999999" customHeight="1" x14ac:dyDescent="0.3"/>
    <row r="76" ht="19.899999999999999" customHeight="1" x14ac:dyDescent="0.3"/>
    <row r="77" ht="19.899999999999999" customHeight="1" x14ac:dyDescent="0.3"/>
    <row r="78" ht="19.899999999999999" customHeight="1" x14ac:dyDescent="0.3"/>
    <row r="79" ht="19.899999999999999" customHeight="1" x14ac:dyDescent="0.3"/>
    <row r="80" ht="19.899999999999999" customHeight="1" x14ac:dyDescent="0.3"/>
    <row r="81" ht="19.899999999999999" customHeight="1" x14ac:dyDescent="0.3"/>
    <row r="82" ht="19.899999999999999" customHeight="1" x14ac:dyDescent="0.3"/>
    <row r="83" ht="19.899999999999999" customHeight="1" x14ac:dyDescent="0.3"/>
    <row r="84" ht="19.899999999999999" customHeight="1" x14ac:dyDescent="0.3"/>
    <row r="85" ht="19.899999999999999" customHeight="1" x14ac:dyDescent="0.3"/>
    <row r="86" ht="19.899999999999999" customHeight="1" x14ac:dyDescent="0.3"/>
    <row r="87" ht="19.899999999999999" customHeight="1" x14ac:dyDescent="0.3"/>
    <row r="88" ht="19.899999999999999" customHeight="1" x14ac:dyDescent="0.3"/>
    <row r="89" ht="19.899999999999999" customHeight="1" x14ac:dyDescent="0.3"/>
    <row r="90" ht="19.899999999999999" customHeight="1" x14ac:dyDescent="0.3"/>
    <row r="91" ht="19.899999999999999" customHeight="1" x14ac:dyDescent="0.3"/>
    <row r="92" ht="19.899999999999999" customHeight="1" x14ac:dyDescent="0.3"/>
    <row r="93" ht="19.899999999999999" customHeight="1" x14ac:dyDescent="0.3"/>
    <row r="94" ht="19.899999999999999" customHeight="1" x14ac:dyDescent="0.3"/>
    <row r="95" ht="19.899999999999999" customHeight="1" x14ac:dyDescent="0.3"/>
    <row r="96" ht="19.899999999999999" customHeight="1" x14ac:dyDescent="0.3"/>
    <row r="97" ht="19.899999999999999" customHeight="1" x14ac:dyDescent="0.3"/>
    <row r="98" ht="19.899999999999999" customHeight="1" x14ac:dyDescent="0.3"/>
    <row r="99" ht="19.899999999999999" customHeight="1" x14ac:dyDescent="0.3"/>
    <row r="100" ht="19.899999999999999" customHeight="1" x14ac:dyDescent="0.3"/>
    <row r="101" ht="19.899999999999999" customHeight="1" x14ac:dyDescent="0.3"/>
    <row r="102" ht="19.899999999999999" customHeight="1" x14ac:dyDescent="0.3"/>
    <row r="103" ht="19.899999999999999" customHeight="1" x14ac:dyDescent="0.3"/>
    <row r="104" ht="19.899999999999999" customHeight="1" x14ac:dyDescent="0.3"/>
    <row r="105" ht="19.899999999999999" customHeight="1" x14ac:dyDescent="0.3"/>
    <row r="106" ht="19.899999999999999" customHeight="1" x14ac:dyDescent="0.3"/>
    <row r="107" ht="19.899999999999999" customHeight="1" x14ac:dyDescent="0.3"/>
    <row r="108" ht="19.899999999999999" customHeight="1" x14ac:dyDescent="0.3"/>
    <row r="109" ht="19.899999999999999" customHeight="1" x14ac:dyDescent="0.3"/>
    <row r="110" ht="19.899999999999999" customHeight="1" x14ac:dyDescent="0.3"/>
    <row r="111" ht="19.899999999999999" customHeight="1" x14ac:dyDescent="0.3"/>
    <row r="112" ht="19.899999999999999" customHeight="1" x14ac:dyDescent="0.3"/>
    <row r="113" ht="19.899999999999999" customHeight="1" x14ac:dyDescent="0.3"/>
    <row r="114" ht="19.899999999999999" customHeight="1" x14ac:dyDescent="0.3"/>
    <row r="115" ht="19.899999999999999" customHeight="1" x14ac:dyDescent="0.3"/>
    <row r="116" ht="19.899999999999999" customHeight="1" x14ac:dyDescent="0.3"/>
    <row r="117" ht="19.899999999999999" customHeight="1" x14ac:dyDescent="0.3"/>
    <row r="118" ht="19.899999999999999" customHeight="1" x14ac:dyDescent="0.3"/>
    <row r="119" ht="19.899999999999999" customHeight="1" x14ac:dyDescent="0.3"/>
    <row r="120" ht="19.899999999999999" customHeight="1" x14ac:dyDescent="0.3"/>
    <row r="121" ht="19.899999999999999" customHeight="1" x14ac:dyDescent="0.3"/>
    <row r="122" ht="19.899999999999999" customHeight="1" x14ac:dyDescent="0.3"/>
    <row r="123" ht="19.899999999999999" customHeight="1" x14ac:dyDescent="0.3"/>
    <row r="124" ht="19.899999999999999" customHeight="1" x14ac:dyDescent="0.3"/>
    <row r="125" ht="19.899999999999999" customHeight="1" x14ac:dyDescent="0.3"/>
    <row r="126" ht="19.899999999999999" customHeight="1" x14ac:dyDescent="0.3"/>
    <row r="127" ht="19.899999999999999" customHeight="1" x14ac:dyDescent="0.3"/>
    <row r="128" ht="19.899999999999999" customHeight="1" x14ac:dyDescent="0.3"/>
    <row r="129" ht="19.899999999999999" customHeight="1" x14ac:dyDescent="0.3"/>
    <row r="130" ht="19.899999999999999" customHeight="1" x14ac:dyDescent="0.3"/>
    <row r="131" ht="19.899999999999999" customHeight="1" x14ac:dyDescent="0.3"/>
    <row r="132" ht="19.899999999999999" customHeight="1" x14ac:dyDescent="0.3"/>
    <row r="133" ht="19.899999999999999" customHeight="1" x14ac:dyDescent="0.3"/>
    <row r="134" ht="19.899999999999999" customHeight="1" x14ac:dyDescent="0.3"/>
    <row r="135" ht="19.899999999999999" customHeight="1" x14ac:dyDescent="0.3"/>
    <row r="136" ht="19.899999999999999" customHeight="1" x14ac:dyDescent="0.3"/>
    <row r="137" ht="19.899999999999999" customHeight="1" x14ac:dyDescent="0.3"/>
    <row r="138" ht="19.899999999999999" customHeight="1" x14ac:dyDescent="0.3"/>
    <row r="139" ht="19.899999999999999" customHeight="1" x14ac:dyDescent="0.3"/>
    <row r="140" ht="19.899999999999999" customHeight="1" x14ac:dyDescent="0.3"/>
    <row r="141" ht="19.899999999999999" customHeight="1" x14ac:dyDescent="0.3"/>
    <row r="142" ht="19.899999999999999" customHeight="1" x14ac:dyDescent="0.3"/>
    <row r="143" ht="19.899999999999999" customHeight="1" x14ac:dyDescent="0.3"/>
    <row r="144" ht="19.899999999999999" customHeight="1" x14ac:dyDescent="0.3"/>
    <row r="145" ht="19.899999999999999" customHeight="1" x14ac:dyDescent="0.3"/>
    <row r="146" ht="19.899999999999999" customHeight="1" x14ac:dyDescent="0.3"/>
    <row r="147" ht="19.899999999999999" customHeight="1" x14ac:dyDescent="0.3"/>
    <row r="148" ht="19.899999999999999" customHeight="1" x14ac:dyDescent="0.3"/>
    <row r="149" ht="19.899999999999999" customHeight="1" x14ac:dyDescent="0.3"/>
    <row r="150" ht="19.899999999999999" customHeight="1" x14ac:dyDescent="0.3"/>
    <row r="151" ht="19.899999999999999" customHeight="1" x14ac:dyDescent="0.3"/>
    <row r="152" ht="19.899999999999999" customHeight="1" x14ac:dyDescent="0.3"/>
    <row r="153" ht="19.899999999999999" customHeight="1" x14ac:dyDescent="0.3"/>
    <row r="154" ht="19.899999999999999" customHeight="1" x14ac:dyDescent="0.3"/>
    <row r="155" ht="19.899999999999999" customHeight="1" x14ac:dyDescent="0.3"/>
    <row r="156" ht="19.899999999999999" customHeight="1" x14ac:dyDescent="0.3"/>
    <row r="157" ht="19.899999999999999" customHeight="1" x14ac:dyDescent="0.3"/>
    <row r="158" ht="19.899999999999999" customHeight="1" x14ac:dyDescent="0.3"/>
    <row r="159" ht="19.899999999999999" customHeight="1" x14ac:dyDescent="0.3"/>
    <row r="160" ht="19.899999999999999" customHeight="1" x14ac:dyDescent="0.3"/>
    <row r="161" ht="19.899999999999999" customHeight="1" x14ac:dyDescent="0.3"/>
    <row r="162" ht="19.899999999999999" customHeight="1" x14ac:dyDescent="0.3"/>
    <row r="163" ht="19.899999999999999" customHeight="1" x14ac:dyDescent="0.3"/>
    <row r="164" ht="19.899999999999999" customHeight="1" x14ac:dyDescent="0.3"/>
    <row r="165" ht="19.899999999999999" customHeight="1" x14ac:dyDescent="0.3"/>
    <row r="166" ht="19.899999999999999" customHeight="1" x14ac:dyDescent="0.3"/>
    <row r="167" ht="19.899999999999999" customHeight="1" x14ac:dyDescent="0.3"/>
    <row r="168" ht="19.899999999999999" customHeight="1" x14ac:dyDescent="0.3"/>
    <row r="169" ht="19.899999999999999" customHeight="1" x14ac:dyDescent="0.3"/>
    <row r="170" ht="19.899999999999999" customHeight="1" x14ac:dyDescent="0.3"/>
    <row r="171" ht="19.899999999999999" customHeight="1" x14ac:dyDescent="0.3"/>
    <row r="172" ht="19.899999999999999" customHeight="1" x14ac:dyDescent="0.3"/>
    <row r="173" ht="19.899999999999999" customHeight="1" x14ac:dyDescent="0.3"/>
    <row r="174" ht="19.899999999999999" customHeight="1" x14ac:dyDescent="0.3"/>
    <row r="175" ht="19.899999999999999" customHeight="1" x14ac:dyDescent="0.3"/>
    <row r="176" ht="19.899999999999999" customHeight="1" x14ac:dyDescent="0.3"/>
    <row r="177" ht="19.899999999999999" customHeight="1" x14ac:dyDescent="0.3"/>
    <row r="178" ht="19.899999999999999" customHeight="1" x14ac:dyDescent="0.3"/>
    <row r="179" ht="19.899999999999999" customHeight="1" x14ac:dyDescent="0.3"/>
    <row r="180" ht="19.899999999999999" customHeight="1" x14ac:dyDescent="0.3"/>
    <row r="181" ht="19.899999999999999" customHeight="1" x14ac:dyDescent="0.3"/>
    <row r="182" ht="19.899999999999999" customHeight="1" x14ac:dyDescent="0.3"/>
    <row r="183" ht="19.899999999999999" customHeight="1" x14ac:dyDescent="0.3"/>
    <row r="184" ht="19.899999999999999" customHeight="1" x14ac:dyDescent="0.3"/>
    <row r="185" ht="19.899999999999999" customHeight="1" x14ac:dyDescent="0.3"/>
    <row r="186" ht="19.899999999999999" customHeight="1" x14ac:dyDescent="0.3"/>
    <row r="187" ht="19.899999999999999" customHeight="1" x14ac:dyDescent="0.3"/>
    <row r="188" ht="19.899999999999999" customHeight="1" x14ac:dyDescent="0.3"/>
    <row r="189" ht="19.899999999999999" customHeight="1" x14ac:dyDescent="0.3"/>
  </sheetData>
  <mergeCells count="104">
    <mergeCell ref="A27:X27"/>
    <mergeCell ref="A28:X28"/>
    <mergeCell ref="A29:X29"/>
    <mergeCell ref="A30:X30"/>
    <mergeCell ref="A25:L25"/>
    <mergeCell ref="M25:O25"/>
    <mergeCell ref="P25:R25"/>
    <mergeCell ref="S25:U25"/>
    <mergeCell ref="V25:X25"/>
    <mergeCell ref="A26:X26"/>
    <mergeCell ref="A23:L23"/>
    <mergeCell ref="M23:R23"/>
    <mergeCell ref="S23:U23"/>
    <mergeCell ref="V23:X23"/>
    <mergeCell ref="A24:L24"/>
    <mergeCell ref="M24:O24"/>
    <mergeCell ref="P24:R24"/>
    <mergeCell ref="S24:U24"/>
    <mergeCell ref="V24:X24"/>
    <mergeCell ref="A21:L21"/>
    <mergeCell ref="M21:O21"/>
    <mergeCell ref="P21:R21"/>
    <mergeCell ref="S21:U21"/>
    <mergeCell ref="V21:X21"/>
    <mergeCell ref="A22:L22"/>
    <mergeCell ref="M22:O22"/>
    <mergeCell ref="P22:R22"/>
    <mergeCell ref="S22:U22"/>
    <mergeCell ref="V22:X22"/>
    <mergeCell ref="A19:L19"/>
    <mergeCell ref="M19:O19"/>
    <mergeCell ref="P19:R19"/>
    <mergeCell ref="S19:U19"/>
    <mergeCell ref="V19:X19"/>
    <mergeCell ref="A20:L20"/>
    <mergeCell ref="M20:O20"/>
    <mergeCell ref="P20:R20"/>
    <mergeCell ref="S20:U20"/>
    <mergeCell ref="V20:X20"/>
    <mergeCell ref="A17:L17"/>
    <mergeCell ref="M17:O17"/>
    <mergeCell ref="P17:R17"/>
    <mergeCell ref="S17:U17"/>
    <mergeCell ref="V17:X17"/>
    <mergeCell ref="A18:L18"/>
    <mergeCell ref="M18:O18"/>
    <mergeCell ref="P18:R18"/>
    <mergeCell ref="S18:U18"/>
    <mergeCell ref="V18:X18"/>
    <mergeCell ref="A13:X13"/>
    <mergeCell ref="A14:L15"/>
    <mergeCell ref="M14:X14"/>
    <mergeCell ref="M15:R15"/>
    <mergeCell ref="S15:X15"/>
    <mergeCell ref="A16:L16"/>
    <mergeCell ref="M16:O16"/>
    <mergeCell ref="P16:R16"/>
    <mergeCell ref="S16:U16"/>
    <mergeCell ref="V16:X16"/>
    <mergeCell ref="A10:H10"/>
    <mergeCell ref="I10:K10"/>
    <mergeCell ref="M10:O10"/>
    <mergeCell ref="P10:R10"/>
    <mergeCell ref="U10:X10"/>
    <mergeCell ref="A11:C11"/>
    <mergeCell ref="D11:L11"/>
    <mergeCell ref="M11:O11"/>
    <mergeCell ref="P11:X11"/>
    <mergeCell ref="A8:C8"/>
    <mergeCell ref="D8:K8"/>
    <mergeCell ref="M8:O8"/>
    <mergeCell ref="P8:V8"/>
    <mergeCell ref="W8:X8"/>
    <mergeCell ref="A9:C9"/>
    <mergeCell ref="D9:K9"/>
    <mergeCell ref="M9:O9"/>
    <mergeCell ref="P9:V9"/>
    <mergeCell ref="W9:X9"/>
    <mergeCell ref="A6:C6"/>
    <mergeCell ref="J6:K6"/>
    <mergeCell ref="M6:O7"/>
    <mergeCell ref="P6:X6"/>
    <mergeCell ref="A7:C7"/>
    <mergeCell ref="D7:K7"/>
    <mergeCell ref="P7:W7"/>
    <mergeCell ref="A5:C5"/>
    <mergeCell ref="D5:I5"/>
    <mergeCell ref="J5:K5"/>
    <mergeCell ref="M5:O5"/>
    <mergeCell ref="P5:T5"/>
    <mergeCell ref="U5:W5"/>
    <mergeCell ref="A4:C4"/>
    <mergeCell ref="D4:I4"/>
    <mergeCell ref="J4:K4"/>
    <mergeCell ref="M4:O4"/>
    <mergeCell ref="P4:T4"/>
    <mergeCell ref="U4:W4"/>
    <mergeCell ref="A1:X1"/>
    <mergeCell ref="A2:L2"/>
    <mergeCell ref="M2:X2"/>
    <mergeCell ref="A3:C3"/>
    <mergeCell ref="D3:L3"/>
    <mergeCell ref="M3:O3"/>
    <mergeCell ref="P3:X3"/>
  </mergeCells>
  <phoneticPr fontId="6" type="noConversion"/>
  <pageMargins left="0.25" right="0.25" top="0.75" bottom="0.75" header="0.3" footer="0.3"/>
  <pageSetup paperSize="9" scale="8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1772-A1C9-4EBE-B38D-211D02F55E08}">
  <dimension ref="B1:E26"/>
  <sheetViews>
    <sheetView view="pageBreakPreview" topLeftCell="A7" zoomScale="90" zoomScaleNormal="100" zoomScaleSheetLayoutView="90" workbookViewId="0">
      <selection activeCell="C19" sqref="C19"/>
    </sheetView>
  </sheetViews>
  <sheetFormatPr defaultRowHeight="16.5" x14ac:dyDescent="0.3"/>
  <cols>
    <col min="1" max="1" width="1.875" customWidth="1"/>
    <col min="2" max="2" width="24.875" customWidth="1"/>
    <col min="3" max="3" width="23.75" customWidth="1"/>
    <col min="4" max="5" width="20.125" customWidth="1"/>
    <col min="6" max="6" width="1.5" customWidth="1"/>
  </cols>
  <sheetData>
    <row r="1" spans="2:5" ht="15" customHeight="1" x14ac:dyDescent="0.3"/>
    <row r="2" spans="2:5" ht="15" customHeight="1" x14ac:dyDescent="0.3"/>
    <row r="3" spans="2:5" ht="15" customHeight="1" x14ac:dyDescent="0.3"/>
    <row r="4" spans="2:5" ht="15" customHeight="1" x14ac:dyDescent="0.3"/>
    <row r="5" spans="2:5" ht="42.75" customHeight="1" x14ac:dyDescent="0.3">
      <c r="B5" s="517" t="s">
        <v>328</v>
      </c>
      <c r="C5" s="517"/>
      <c r="D5" s="518" t="s">
        <v>329</v>
      </c>
      <c r="E5" s="518"/>
    </row>
    <row r="6" spans="2:5" ht="26.25" customHeight="1" x14ac:dyDescent="0.3">
      <c r="B6" s="115" t="s">
        <v>330</v>
      </c>
      <c r="C6" s="92" t="s">
        <v>331</v>
      </c>
      <c r="D6" s="519"/>
      <c r="E6" s="519"/>
    </row>
    <row r="7" spans="2:5" ht="26.25" customHeight="1" x14ac:dyDescent="0.3">
      <c r="B7" s="115" t="s">
        <v>332</v>
      </c>
      <c r="C7" s="92" t="s">
        <v>333</v>
      </c>
      <c r="D7" s="519"/>
      <c r="E7" s="519"/>
    </row>
    <row r="8" spans="2:5" ht="26.25" customHeight="1" x14ac:dyDescent="0.3">
      <c r="B8" s="115" t="s">
        <v>334</v>
      </c>
      <c r="C8" s="92" t="s">
        <v>335</v>
      </c>
      <c r="D8" s="519"/>
      <c r="E8" s="519"/>
    </row>
    <row r="9" spans="2:5" ht="26.25" customHeight="1" x14ac:dyDescent="0.3">
      <c r="B9" s="115" t="s">
        <v>336</v>
      </c>
      <c r="C9" s="92" t="s">
        <v>337</v>
      </c>
      <c r="D9" s="519"/>
      <c r="E9" s="519"/>
    </row>
    <row r="10" spans="2:5" ht="26.25" customHeight="1" x14ac:dyDescent="0.3">
      <c r="B10" s="115" t="s">
        <v>338</v>
      </c>
      <c r="C10" s="92" t="s">
        <v>339</v>
      </c>
      <c r="D10" s="519"/>
      <c r="E10" s="519"/>
    </row>
    <row r="11" spans="2:5" ht="26.25" customHeight="1" x14ac:dyDescent="0.3">
      <c r="B11" s="115" t="s">
        <v>340</v>
      </c>
      <c r="C11" s="92" t="s">
        <v>341</v>
      </c>
      <c r="D11" s="519"/>
      <c r="E11" s="519"/>
    </row>
    <row r="12" spans="2:5" ht="26.25" customHeight="1" x14ac:dyDescent="0.3">
      <c r="B12" s="115" t="s">
        <v>342</v>
      </c>
      <c r="C12" s="92" t="s">
        <v>343</v>
      </c>
      <c r="D12" s="116" t="s">
        <v>344</v>
      </c>
      <c r="E12" s="116" t="s">
        <v>345</v>
      </c>
    </row>
    <row r="13" spans="2:5" ht="26.25" customHeight="1" x14ac:dyDescent="0.3">
      <c r="B13" s="115" t="s">
        <v>346</v>
      </c>
      <c r="C13" s="97" t="s">
        <v>347</v>
      </c>
      <c r="D13" s="95"/>
      <c r="E13" s="516" t="s">
        <v>348</v>
      </c>
    </row>
    <row r="14" spans="2:5" ht="56.25" customHeight="1" x14ac:dyDescent="0.2">
      <c r="B14" s="115" t="s">
        <v>349</v>
      </c>
      <c r="C14" s="92" t="s">
        <v>350</v>
      </c>
      <c r="D14" s="96" t="s">
        <v>351</v>
      </c>
      <c r="E14" s="516"/>
    </row>
    <row r="15" spans="2:5" ht="17.25" x14ac:dyDescent="0.3">
      <c r="B15" s="87"/>
      <c r="C15" s="88"/>
      <c r="D15" s="88"/>
      <c r="E15" s="88"/>
    </row>
    <row r="16" spans="2:5" ht="42.75" customHeight="1" x14ac:dyDescent="0.3">
      <c r="B16" s="517" t="s">
        <v>352</v>
      </c>
      <c r="C16" s="517"/>
      <c r="D16" s="518" t="s">
        <v>329</v>
      </c>
      <c r="E16" s="518"/>
    </row>
    <row r="17" spans="2:5" ht="26.25" customHeight="1" x14ac:dyDescent="0.3">
      <c r="B17" s="115" t="s">
        <v>330</v>
      </c>
      <c r="C17" s="92"/>
      <c r="D17" s="515"/>
      <c r="E17" s="515"/>
    </row>
    <row r="18" spans="2:5" ht="26.25" customHeight="1" x14ac:dyDescent="0.3">
      <c r="B18" s="115" t="s">
        <v>332</v>
      </c>
      <c r="C18" s="92"/>
      <c r="D18" s="515"/>
      <c r="E18" s="515"/>
    </row>
    <row r="19" spans="2:5" ht="26.25" customHeight="1" x14ac:dyDescent="0.3">
      <c r="B19" s="115" t="s">
        <v>334</v>
      </c>
      <c r="C19" s="92"/>
      <c r="D19" s="515"/>
      <c r="E19" s="515"/>
    </row>
    <row r="20" spans="2:5" ht="26.25" customHeight="1" x14ac:dyDescent="0.3">
      <c r="B20" s="115" t="s">
        <v>336</v>
      </c>
      <c r="C20" s="93"/>
      <c r="D20" s="515"/>
      <c r="E20" s="515"/>
    </row>
    <row r="21" spans="2:5" ht="26.25" customHeight="1" x14ac:dyDescent="0.3">
      <c r="B21" s="115" t="s">
        <v>338</v>
      </c>
      <c r="C21" s="92"/>
      <c r="D21" s="515"/>
      <c r="E21" s="515"/>
    </row>
    <row r="22" spans="2:5" ht="26.25" customHeight="1" x14ac:dyDescent="0.3">
      <c r="B22" s="115" t="s">
        <v>340</v>
      </c>
      <c r="C22" s="92"/>
      <c r="D22" s="515"/>
      <c r="E22" s="515"/>
    </row>
    <row r="23" spans="2:5" ht="26.25" customHeight="1" x14ac:dyDescent="0.3">
      <c r="B23" s="115" t="s">
        <v>342</v>
      </c>
      <c r="C23" s="92"/>
      <c r="D23" s="116" t="s">
        <v>344</v>
      </c>
      <c r="E23" s="116" t="s">
        <v>345</v>
      </c>
    </row>
    <row r="24" spans="2:5" ht="26.25" customHeight="1" x14ac:dyDescent="0.3">
      <c r="B24" s="115" t="s">
        <v>346</v>
      </c>
      <c r="C24" s="94"/>
      <c r="D24" s="95"/>
      <c r="E24" s="516" t="s">
        <v>353</v>
      </c>
    </row>
    <row r="25" spans="2:5" ht="56.25" customHeight="1" x14ac:dyDescent="0.2">
      <c r="B25" s="115" t="s">
        <v>349</v>
      </c>
      <c r="C25" s="92" t="s">
        <v>350</v>
      </c>
      <c r="D25" s="96" t="s">
        <v>354</v>
      </c>
      <c r="E25" s="516"/>
    </row>
    <row r="26" spans="2:5" ht="46.5" customHeight="1" x14ac:dyDescent="0.3">
      <c r="B26" s="89"/>
      <c r="C26" s="89"/>
      <c r="D26" s="89"/>
      <c r="E26" s="89"/>
    </row>
  </sheetData>
  <mergeCells count="8">
    <mergeCell ref="D17:E22"/>
    <mergeCell ref="E24:E25"/>
    <mergeCell ref="B5:C5"/>
    <mergeCell ref="D5:E5"/>
    <mergeCell ref="D6:E11"/>
    <mergeCell ref="E13:E14"/>
    <mergeCell ref="B16:C16"/>
    <mergeCell ref="D16:E16"/>
  </mergeCells>
  <phoneticPr fontId="6" type="noConversion"/>
  <pageMargins left="0.25" right="0.25" top="0.75" bottom="0.75" header="0.3" footer="0.3"/>
  <pageSetup paperSize="9" scale="9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E599-C615-4EA8-BDF8-575FFB4EAD9B}">
  <dimension ref="A1:M29"/>
  <sheetViews>
    <sheetView view="pageBreakPreview" zoomScale="85" zoomScaleNormal="100" zoomScaleSheetLayoutView="85" workbookViewId="0">
      <selection activeCell="B3" sqref="B3:L28"/>
    </sheetView>
  </sheetViews>
  <sheetFormatPr defaultRowHeight="16.5" x14ac:dyDescent="0.3"/>
  <cols>
    <col min="1" max="1" width="1.5" style="5" customWidth="1"/>
    <col min="2" max="11" width="10.75" style="5" customWidth="1"/>
    <col min="12" max="12" width="10.375" style="5" customWidth="1"/>
    <col min="13" max="13" width="1.5" style="5" customWidth="1"/>
    <col min="14" max="16384" width="9" style="5"/>
  </cols>
  <sheetData>
    <row r="1" spans="1:13" ht="20.25" x14ac:dyDescent="0.3">
      <c r="A1" s="520" t="s">
        <v>47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</row>
    <row r="2" spans="1:13" ht="10.5" customHeight="1" x14ac:dyDescent="0.3"/>
    <row r="3" spans="1:13" x14ac:dyDescent="0.3">
      <c r="B3" s="521"/>
      <c r="C3" s="522"/>
      <c r="D3" s="522"/>
      <c r="E3" s="522"/>
      <c r="F3" s="522"/>
      <c r="G3" s="522"/>
      <c r="H3" s="522"/>
      <c r="I3" s="522"/>
      <c r="J3" s="522"/>
      <c r="K3" s="522"/>
      <c r="L3" s="523"/>
    </row>
    <row r="4" spans="1:13" x14ac:dyDescent="0.3">
      <c r="B4" s="524"/>
      <c r="C4" s="525"/>
      <c r="D4" s="525"/>
      <c r="E4" s="525"/>
      <c r="F4" s="525"/>
      <c r="G4" s="525"/>
      <c r="H4" s="525"/>
      <c r="I4" s="525"/>
      <c r="J4" s="525"/>
      <c r="K4" s="525"/>
      <c r="L4" s="526"/>
    </row>
    <row r="5" spans="1:13" x14ac:dyDescent="0.3">
      <c r="B5" s="524"/>
      <c r="C5" s="525"/>
      <c r="D5" s="525"/>
      <c r="E5" s="525"/>
      <c r="F5" s="525"/>
      <c r="G5" s="525"/>
      <c r="H5" s="525"/>
      <c r="I5" s="525"/>
      <c r="J5" s="525"/>
      <c r="K5" s="525"/>
      <c r="L5" s="526"/>
    </row>
    <row r="6" spans="1:13" x14ac:dyDescent="0.3">
      <c r="B6" s="524"/>
      <c r="C6" s="525"/>
      <c r="D6" s="525"/>
      <c r="E6" s="525"/>
      <c r="F6" s="525"/>
      <c r="G6" s="525"/>
      <c r="H6" s="525"/>
      <c r="I6" s="525"/>
      <c r="J6" s="525"/>
      <c r="K6" s="525"/>
      <c r="L6" s="526"/>
    </row>
    <row r="7" spans="1:13" x14ac:dyDescent="0.3">
      <c r="B7" s="524"/>
      <c r="C7" s="525"/>
      <c r="D7" s="525"/>
      <c r="E7" s="525"/>
      <c r="F7" s="525"/>
      <c r="G7" s="525"/>
      <c r="H7" s="525"/>
      <c r="I7" s="525"/>
      <c r="J7" s="525"/>
      <c r="K7" s="525"/>
      <c r="L7" s="526"/>
    </row>
    <row r="8" spans="1:13" x14ac:dyDescent="0.3">
      <c r="B8" s="524"/>
      <c r="C8" s="525"/>
      <c r="D8" s="525"/>
      <c r="E8" s="525"/>
      <c r="F8" s="525"/>
      <c r="G8" s="525"/>
      <c r="H8" s="525"/>
      <c r="I8" s="525"/>
      <c r="J8" s="525"/>
      <c r="K8" s="525"/>
      <c r="L8" s="526"/>
    </row>
    <row r="9" spans="1:13" x14ac:dyDescent="0.3">
      <c r="B9" s="524"/>
      <c r="C9" s="525"/>
      <c r="D9" s="525"/>
      <c r="E9" s="525"/>
      <c r="F9" s="525"/>
      <c r="G9" s="525"/>
      <c r="H9" s="525"/>
      <c r="I9" s="525"/>
      <c r="J9" s="525"/>
      <c r="K9" s="525"/>
      <c r="L9" s="526"/>
    </row>
    <row r="10" spans="1:13" x14ac:dyDescent="0.3">
      <c r="B10" s="524"/>
      <c r="C10" s="525"/>
      <c r="D10" s="525"/>
      <c r="E10" s="525"/>
      <c r="F10" s="525"/>
      <c r="G10" s="525"/>
      <c r="H10" s="525"/>
      <c r="I10" s="525"/>
      <c r="J10" s="525"/>
      <c r="K10" s="525"/>
      <c r="L10" s="526"/>
    </row>
    <row r="11" spans="1:13" x14ac:dyDescent="0.3">
      <c r="B11" s="524"/>
      <c r="C11" s="525"/>
      <c r="D11" s="525"/>
      <c r="E11" s="525"/>
      <c r="F11" s="525"/>
      <c r="G11" s="525"/>
      <c r="H11" s="525"/>
      <c r="I11" s="525"/>
      <c r="J11" s="525"/>
      <c r="K11" s="525"/>
      <c r="L11" s="526"/>
    </row>
    <row r="12" spans="1:13" x14ac:dyDescent="0.3">
      <c r="B12" s="524"/>
      <c r="C12" s="525"/>
      <c r="D12" s="525"/>
      <c r="E12" s="525"/>
      <c r="F12" s="525"/>
      <c r="G12" s="525"/>
      <c r="H12" s="525"/>
      <c r="I12" s="525"/>
      <c r="J12" s="525"/>
      <c r="K12" s="525"/>
      <c r="L12" s="526"/>
    </row>
    <row r="13" spans="1:13" x14ac:dyDescent="0.3">
      <c r="B13" s="524"/>
      <c r="C13" s="525"/>
      <c r="D13" s="525"/>
      <c r="E13" s="525"/>
      <c r="F13" s="525"/>
      <c r="G13" s="525"/>
      <c r="H13" s="525"/>
      <c r="I13" s="525"/>
      <c r="J13" s="525"/>
      <c r="K13" s="525"/>
      <c r="L13" s="526"/>
    </row>
    <row r="14" spans="1:13" x14ac:dyDescent="0.3">
      <c r="B14" s="524"/>
      <c r="C14" s="525"/>
      <c r="D14" s="525"/>
      <c r="E14" s="525"/>
      <c r="F14" s="525"/>
      <c r="G14" s="525"/>
      <c r="H14" s="525"/>
      <c r="I14" s="525"/>
      <c r="J14" s="525"/>
      <c r="K14" s="525"/>
      <c r="L14" s="526"/>
    </row>
    <row r="15" spans="1:13" x14ac:dyDescent="0.3">
      <c r="B15" s="524"/>
      <c r="C15" s="525"/>
      <c r="D15" s="525"/>
      <c r="E15" s="525"/>
      <c r="F15" s="525"/>
      <c r="G15" s="525"/>
      <c r="H15" s="525"/>
      <c r="I15" s="525"/>
      <c r="J15" s="525"/>
      <c r="K15" s="525"/>
      <c r="L15" s="526"/>
    </row>
    <row r="16" spans="1:13" x14ac:dyDescent="0.3">
      <c r="B16" s="524"/>
      <c r="C16" s="525"/>
      <c r="D16" s="525"/>
      <c r="E16" s="525"/>
      <c r="F16" s="525"/>
      <c r="G16" s="525"/>
      <c r="H16" s="525"/>
      <c r="I16" s="525"/>
      <c r="J16" s="525"/>
      <c r="K16" s="525"/>
      <c r="L16" s="526"/>
    </row>
    <row r="17" spans="2:12" x14ac:dyDescent="0.3">
      <c r="B17" s="524"/>
      <c r="C17" s="525"/>
      <c r="D17" s="525"/>
      <c r="E17" s="525"/>
      <c r="F17" s="525"/>
      <c r="G17" s="525"/>
      <c r="H17" s="525"/>
      <c r="I17" s="525"/>
      <c r="J17" s="525"/>
      <c r="K17" s="525"/>
      <c r="L17" s="526"/>
    </row>
    <row r="18" spans="2:12" x14ac:dyDescent="0.3">
      <c r="B18" s="524"/>
      <c r="C18" s="525"/>
      <c r="D18" s="525"/>
      <c r="E18" s="525"/>
      <c r="F18" s="525"/>
      <c r="G18" s="525"/>
      <c r="H18" s="525"/>
      <c r="I18" s="525"/>
      <c r="J18" s="525"/>
      <c r="K18" s="525"/>
      <c r="L18" s="526"/>
    </row>
    <row r="19" spans="2:12" x14ac:dyDescent="0.3">
      <c r="B19" s="524"/>
      <c r="C19" s="525"/>
      <c r="D19" s="525"/>
      <c r="E19" s="525"/>
      <c r="F19" s="525"/>
      <c r="G19" s="525"/>
      <c r="H19" s="525"/>
      <c r="I19" s="525"/>
      <c r="J19" s="525"/>
      <c r="K19" s="525"/>
      <c r="L19" s="526"/>
    </row>
    <row r="20" spans="2:12" x14ac:dyDescent="0.3">
      <c r="B20" s="524"/>
      <c r="C20" s="525"/>
      <c r="D20" s="525"/>
      <c r="E20" s="525"/>
      <c r="F20" s="525"/>
      <c r="G20" s="525"/>
      <c r="H20" s="525"/>
      <c r="I20" s="525"/>
      <c r="J20" s="525"/>
      <c r="K20" s="525"/>
      <c r="L20" s="526"/>
    </row>
    <row r="21" spans="2:12" x14ac:dyDescent="0.3">
      <c r="B21" s="524"/>
      <c r="C21" s="525"/>
      <c r="D21" s="525"/>
      <c r="E21" s="525"/>
      <c r="F21" s="525"/>
      <c r="G21" s="525"/>
      <c r="H21" s="525"/>
      <c r="I21" s="525"/>
      <c r="J21" s="525"/>
      <c r="K21" s="525"/>
      <c r="L21" s="526"/>
    </row>
    <row r="22" spans="2:12" x14ac:dyDescent="0.3">
      <c r="B22" s="524"/>
      <c r="C22" s="525"/>
      <c r="D22" s="525"/>
      <c r="E22" s="525"/>
      <c r="F22" s="525"/>
      <c r="G22" s="525"/>
      <c r="H22" s="525"/>
      <c r="I22" s="525"/>
      <c r="J22" s="525"/>
      <c r="K22" s="525"/>
      <c r="L22" s="526"/>
    </row>
    <row r="23" spans="2:12" x14ac:dyDescent="0.3">
      <c r="B23" s="524"/>
      <c r="C23" s="525"/>
      <c r="D23" s="525"/>
      <c r="E23" s="525"/>
      <c r="F23" s="525"/>
      <c r="G23" s="525"/>
      <c r="H23" s="525"/>
      <c r="I23" s="525"/>
      <c r="J23" s="525"/>
      <c r="K23" s="525"/>
      <c r="L23" s="526"/>
    </row>
    <row r="24" spans="2:12" x14ac:dyDescent="0.3">
      <c r="B24" s="524"/>
      <c r="C24" s="525"/>
      <c r="D24" s="525"/>
      <c r="E24" s="525"/>
      <c r="F24" s="525"/>
      <c r="G24" s="525"/>
      <c r="H24" s="525"/>
      <c r="I24" s="525"/>
      <c r="J24" s="525"/>
      <c r="K24" s="525"/>
      <c r="L24" s="526"/>
    </row>
    <row r="25" spans="2:12" x14ac:dyDescent="0.3">
      <c r="B25" s="524"/>
      <c r="C25" s="525"/>
      <c r="D25" s="525"/>
      <c r="E25" s="525"/>
      <c r="F25" s="525"/>
      <c r="G25" s="525"/>
      <c r="H25" s="525"/>
      <c r="I25" s="525"/>
      <c r="J25" s="525"/>
      <c r="K25" s="525"/>
      <c r="L25" s="526"/>
    </row>
    <row r="26" spans="2:12" x14ac:dyDescent="0.3">
      <c r="B26" s="524"/>
      <c r="C26" s="525"/>
      <c r="D26" s="525"/>
      <c r="E26" s="525"/>
      <c r="F26" s="525"/>
      <c r="G26" s="525"/>
      <c r="H26" s="525"/>
      <c r="I26" s="525"/>
      <c r="J26" s="525"/>
      <c r="K26" s="525"/>
      <c r="L26" s="526"/>
    </row>
    <row r="27" spans="2:12" x14ac:dyDescent="0.3">
      <c r="B27" s="524"/>
      <c r="C27" s="525"/>
      <c r="D27" s="525"/>
      <c r="E27" s="525"/>
      <c r="F27" s="525"/>
      <c r="G27" s="525"/>
      <c r="H27" s="525"/>
      <c r="I27" s="525"/>
      <c r="J27" s="525"/>
      <c r="K27" s="525"/>
      <c r="L27" s="526"/>
    </row>
    <row r="28" spans="2:12" x14ac:dyDescent="0.3">
      <c r="B28" s="527"/>
      <c r="C28" s="528"/>
      <c r="D28" s="528"/>
      <c r="E28" s="528"/>
      <c r="F28" s="528"/>
      <c r="G28" s="528"/>
      <c r="H28" s="528"/>
      <c r="I28" s="528"/>
      <c r="J28" s="528"/>
      <c r="K28" s="528"/>
      <c r="L28" s="529"/>
    </row>
    <row r="29" spans="2:12" ht="10.5" customHeight="1" x14ac:dyDescent="0.3"/>
  </sheetData>
  <mergeCells count="2">
    <mergeCell ref="A1:M1"/>
    <mergeCell ref="B3:L28"/>
  </mergeCells>
  <phoneticPr fontId="6" type="noConversion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1177-C69D-49C1-83E0-A1319653D4AD}">
  <dimension ref="A1:AM42"/>
  <sheetViews>
    <sheetView view="pageBreakPreview" topLeftCell="A16" zoomScaleNormal="100" zoomScaleSheetLayoutView="100" workbookViewId="0">
      <selection activeCell="P48" sqref="P48"/>
    </sheetView>
  </sheetViews>
  <sheetFormatPr defaultRowHeight="16.5" x14ac:dyDescent="0.3"/>
  <cols>
    <col min="1" max="35" width="2" style="6" customWidth="1"/>
    <col min="36" max="40" width="2.5" style="6" customWidth="1"/>
    <col min="41" max="16384" width="9" style="6"/>
  </cols>
  <sheetData>
    <row r="1" spans="1:39" ht="18.75" customHeight="1" x14ac:dyDescent="0.3">
      <c r="A1" s="530" t="s">
        <v>48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530"/>
      <c r="Z1" s="530"/>
      <c r="AA1" s="530"/>
      <c r="AB1" s="530"/>
      <c r="AC1" s="530"/>
      <c r="AD1" s="530"/>
      <c r="AE1" s="530"/>
      <c r="AF1" s="530"/>
      <c r="AG1" s="530"/>
      <c r="AH1" s="530"/>
      <c r="AI1" s="530"/>
      <c r="AJ1" s="530"/>
      <c r="AK1" s="530"/>
      <c r="AL1" s="530"/>
      <c r="AM1" s="530"/>
    </row>
    <row r="2" spans="1:39" ht="17.25" customHeight="1" x14ac:dyDescent="0.3">
      <c r="A2" s="531" t="s">
        <v>49</v>
      </c>
      <c r="B2" s="531"/>
      <c r="C2" s="531"/>
      <c r="D2" s="531"/>
      <c r="E2" s="531"/>
      <c r="F2" s="532"/>
      <c r="G2" s="532"/>
      <c r="H2" s="532"/>
      <c r="I2" s="532"/>
      <c r="J2" s="532"/>
      <c r="K2" s="532"/>
      <c r="L2" s="531" t="s">
        <v>50</v>
      </c>
      <c r="M2" s="531"/>
      <c r="N2" s="531"/>
      <c r="O2" s="531"/>
      <c r="P2" s="531"/>
      <c r="Q2" s="532"/>
      <c r="R2" s="532"/>
      <c r="S2" s="532"/>
      <c r="T2" s="532"/>
      <c r="U2" s="532"/>
      <c r="V2" s="532"/>
      <c r="W2" s="531" t="s">
        <v>51</v>
      </c>
      <c r="X2" s="531"/>
      <c r="Y2" s="531"/>
      <c r="Z2" s="531"/>
      <c r="AA2" s="531"/>
      <c r="AB2" s="531"/>
      <c r="AC2" s="531"/>
      <c r="AD2" s="531"/>
      <c r="AE2" s="533" t="s">
        <v>52</v>
      </c>
      <c r="AF2" s="533"/>
      <c r="AG2" s="533"/>
      <c r="AH2" s="533"/>
      <c r="AI2" s="533"/>
      <c r="AJ2" s="533"/>
      <c r="AK2" s="533"/>
      <c r="AL2" s="533"/>
      <c r="AM2" s="533"/>
    </row>
    <row r="3" spans="1:39" ht="6" customHeight="1" x14ac:dyDescent="0.3"/>
    <row r="4" spans="1:39" ht="18.75" customHeight="1" x14ac:dyDescent="0.3">
      <c r="A4" s="534" t="s">
        <v>53</v>
      </c>
      <c r="B4" s="534"/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  <c r="P4" s="534"/>
      <c r="Q4" s="534"/>
      <c r="R4" s="534"/>
      <c r="S4" s="534"/>
      <c r="T4" s="534"/>
      <c r="U4" s="534"/>
      <c r="V4" s="534"/>
      <c r="W4" s="534"/>
      <c r="X4" s="534"/>
      <c r="Y4" s="534"/>
      <c r="Z4" s="534"/>
      <c r="AA4" s="534"/>
      <c r="AB4" s="534"/>
      <c r="AC4" s="534"/>
      <c r="AD4" s="534"/>
      <c r="AE4" s="534"/>
      <c r="AF4" s="534"/>
      <c r="AG4" s="534"/>
      <c r="AH4" s="534"/>
      <c r="AI4" s="534"/>
      <c r="AJ4" s="534"/>
      <c r="AK4" s="534"/>
      <c r="AL4" s="534"/>
      <c r="AM4" s="534"/>
    </row>
    <row r="5" spans="1:39" ht="19.5" customHeight="1" x14ac:dyDescent="0.3">
      <c r="A5" s="531" t="s">
        <v>54</v>
      </c>
      <c r="B5" s="531"/>
      <c r="C5" s="531" t="s">
        <v>55</v>
      </c>
      <c r="D5" s="531"/>
      <c r="E5" s="531"/>
      <c r="F5" s="531"/>
      <c r="G5" s="531"/>
      <c r="H5" s="531"/>
      <c r="I5" s="531"/>
      <c r="J5" s="531" t="s">
        <v>56</v>
      </c>
      <c r="K5" s="531"/>
      <c r="L5" s="531"/>
      <c r="M5" s="531"/>
      <c r="N5" s="531" t="s">
        <v>54</v>
      </c>
      <c r="O5" s="531"/>
      <c r="P5" s="531" t="s">
        <v>55</v>
      </c>
      <c r="Q5" s="531"/>
      <c r="R5" s="531"/>
      <c r="S5" s="531"/>
      <c r="T5" s="531"/>
      <c r="U5" s="531"/>
      <c r="V5" s="531"/>
      <c r="W5" s="531" t="s">
        <v>56</v>
      </c>
      <c r="X5" s="531"/>
      <c r="Y5" s="531"/>
      <c r="Z5" s="531"/>
      <c r="AA5" s="531" t="s">
        <v>54</v>
      </c>
      <c r="AB5" s="531"/>
      <c r="AC5" s="531" t="s">
        <v>55</v>
      </c>
      <c r="AD5" s="531"/>
      <c r="AE5" s="531"/>
      <c r="AF5" s="531"/>
      <c r="AG5" s="531"/>
      <c r="AH5" s="531"/>
      <c r="AI5" s="531"/>
      <c r="AJ5" s="531" t="s">
        <v>56</v>
      </c>
      <c r="AK5" s="531"/>
      <c r="AL5" s="531"/>
      <c r="AM5" s="531"/>
    </row>
    <row r="6" spans="1:39" ht="19.5" customHeight="1" x14ac:dyDescent="0.3">
      <c r="A6" s="535"/>
      <c r="B6" s="535"/>
      <c r="C6" s="535"/>
      <c r="D6" s="535"/>
      <c r="E6" s="535"/>
      <c r="F6" s="535"/>
      <c r="G6" s="535"/>
      <c r="H6" s="535"/>
      <c r="I6" s="535"/>
      <c r="J6" s="535"/>
      <c r="K6" s="535"/>
      <c r="L6" s="535"/>
      <c r="M6" s="535"/>
      <c r="N6" s="535"/>
      <c r="O6" s="535"/>
      <c r="P6" s="535"/>
      <c r="Q6" s="535"/>
      <c r="R6" s="535"/>
      <c r="S6" s="535"/>
      <c r="T6" s="535"/>
      <c r="U6" s="535"/>
      <c r="V6" s="535"/>
      <c r="W6" s="535"/>
      <c r="X6" s="535"/>
      <c r="Y6" s="535"/>
      <c r="Z6" s="535"/>
      <c r="AA6" s="535"/>
      <c r="AB6" s="535"/>
      <c r="AC6" s="535"/>
      <c r="AD6" s="535"/>
      <c r="AE6" s="535"/>
      <c r="AF6" s="535"/>
      <c r="AG6" s="535"/>
      <c r="AH6" s="535"/>
      <c r="AI6" s="535"/>
      <c r="AJ6" s="535"/>
      <c r="AK6" s="535"/>
      <c r="AL6" s="535"/>
      <c r="AM6" s="535"/>
    </row>
    <row r="7" spans="1:39" ht="19.5" customHeight="1" x14ac:dyDescent="0.3">
      <c r="A7" s="535"/>
      <c r="B7" s="535"/>
      <c r="C7" s="535"/>
      <c r="D7" s="535"/>
      <c r="E7" s="535"/>
      <c r="F7" s="535"/>
      <c r="G7" s="535"/>
      <c r="H7" s="535"/>
      <c r="I7" s="535"/>
      <c r="J7" s="535"/>
      <c r="K7" s="535"/>
      <c r="L7" s="535"/>
      <c r="M7" s="535"/>
      <c r="N7" s="535"/>
      <c r="O7" s="535"/>
      <c r="P7" s="535"/>
      <c r="Q7" s="535"/>
      <c r="R7" s="535"/>
      <c r="S7" s="535"/>
      <c r="T7" s="535"/>
      <c r="U7" s="535"/>
      <c r="V7" s="535"/>
      <c r="W7" s="535"/>
      <c r="X7" s="535"/>
      <c r="Y7" s="535"/>
      <c r="Z7" s="535"/>
      <c r="AA7" s="535"/>
      <c r="AB7" s="535"/>
      <c r="AC7" s="535"/>
      <c r="AD7" s="535"/>
      <c r="AE7" s="535"/>
      <c r="AF7" s="535"/>
      <c r="AG7" s="535"/>
      <c r="AH7" s="535"/>
      <c r="AI7" s="535"/>
      <c r="AJ7" s="535"/>
      <c r="AK7" s="535"/>
      <c r="AL7" s="535"/>
      <c r="AM7" s="535"/>
    </row>
    <row r="8" spans="1:39" ht="19.5" customHeight="1" x14ac:dyDescent="0.3">
      <c r="A8" s="535"/>
      <c r="B8" s="535"/>
      <c r="C8" s="535"/>
      <c r="D8" s="535"/>
      <c r="E8" s="535"/>
      <c r="F8" s="535"/>
      <c r="G8" s="535"/>
      <c r="H8" s="535"/>
      <c r="I8" s="535"/>
      <c r="J8" s="535"/>
      <c r="K8" s="535"/>
      <c r="L8" s="535"/>
      <c r="M8" s="535"/>
      <c r="N8" s="535"/>
      <c r="O8" s="535"/>
      <c r="P8" s="535"/>
      <c r="Q8" s="535"/>
      <c r="R8" s="535"/>
      <c r="S8" s="535"/>
      <c r="T8" s="535"/>
      <c r="U8" s="535"/>
      <c r="V8" s="535"/>
      <c r="W8" s="535"/>
      <c r="X8" s="535"/>
      <c r="Y8" s="535"/>
      <c r="Z8" s="535"/>
      <c r="AA8" s="535"/>
      <c r="AB8" s="535"/>
      <c r="AC8" s="535"/>
      <c r="AD8" s="535"/>
      <c r="AE8" s="535"/>
      <c r="AF8" s="535"/>
      <c r="AG8" s="535"/>
      <c r="AH8" s="535"/>
      <c r="AI8" s="535"/>
      <c r="AJ8" s="535"/>
      <c r="AK8" s="535"/>
      <c r="AL8" s="535"/>
      <c r="AM8" s="535"/>
    </row>
    <row r="9" spans="1:39" ht="19.5" customHeight="1" x14ac:dyDescent="0.3">
      <c r="A9" s="535"/>
      <c r="B9" s="535"/>
      <c r="C9" s="535"/>
      <c r="D9" s="535"/>
      <c r="E9" s="535"/>
      <c r="F9" s="535"/>
      <c r="G9" s="535"/>
      <c r="H9" s="535"/>
      <c r="I9" s="535"/>
      <c r="J9" s="535"/>
      <c r="K9" s="535"/>
      <c r="L9" s="535"/>
      <c r="M9" s="535"/>
      <c r="N9" s="535"/>
      <c r="O9" s="535"/>
      <c r="P9" s="535"/>
      <c r="Q9" s="535"/>
      <c r="R9" s="535"/>
      <c r="S9" s="535"/>
      <c r="T9" s="535"/>
      <c r="U9" s="535"/>
      <c r="V9" s="535"/>
      <c r="W9" s="535"/>
      <c r="X9" s="535"/>
      <c r="Y9" s="535"/>
      <c r="Z9" s="535"/>
      <c r="AA9" s="535"/>
      <c r="AB9" s="535"/>
      <c r="AC9" s="535"/>
      <c r="AD9" s="535"/>
      <c r="AE9" s="535"/>
      <c r="AF9" s="535"/>
      <c r="AG9" s="535"/>
      <c r="AH9" s="535"/>
      <c r="AI9" s="535"/>
      <c r="AJ9" s="535"/>
      <c r="AK9" s="535"/>
      <c r="AL9" s="535"/>
      <c r="AM9" s="535"/>
    </row>
    <row r="10" spans="1:39" ht="19.5" customHeight="1" x14ac:dyDescent="0.3">
      <c r="A10" s="535"/>
      <c r="B10" s="535"/>
      <c r="C10" s="535"/>
      <c r="D10" s="535"/>
      <c r="E10" s="535"/>
      <c r="F10" s="535"/>
      <c r="G10" s="535"/>
      <c r="H10" s="535"/>
      <c r="I10" s="535"/>
      <c r="J10" s="535"/>
      <c r="K10" s="535"/>
      <c r="L10" s="535"/>
      <c r="M10" s="535"/>
      <c r="N10" s="535"/>
      <c r="O10" s="535"/>
      <c r="P10" s="535"/>
      <c r="Q10" s="535"/>
      <c r="R10" s="535"/>
      <c r="S10" s="535"/>
      <c r="T10" s="535"/>
      <c r="U10" s="535"/>
      <c r="V10" s="535"/>
      <c r="W10" s="535"/>
      <c r="X10" s="535"/>
      <c r="Y10" s="535"/>
      <c r="Z10" s="535"/>
      <c r="AA10" s="535"/>
      <c r="AB10" s="535"/>
      <c r="AC10" s="535"/>
      <c r="AD10" s="535"/>
      <c r="AE10" s="535"/>
      <c r="AF10" s="535"/>
      <c r="AG10" s="535"/>
      <c r="AH10" s="535"/>
      <c r="AI10" s="535"/>
      <c r="AJ10" s="535"/>
      <c r="AK10" s="535"/>
      <c r="AL10" s="535"/>
      <c r="AM10" s="535"/>
    </row>
    <row r="11" spans="1:39" ht="19.5" customHeight="1" x14ac:dyDescent="0.3">
      <c r="A11" s="535"/>
      <c r="B11" s="535"/>
      <c r="C11" s="535"/>
      <c r="D11" s="535"/>
      <c r="E11" s="535"/>
      <c r="F11" s="535"/>
      <c r="G11" s="535"/>
      <c r="H11" s="535"/>
      <c r="I11" s="535"/>
      <c r="J11" s="535"/>
      <c r="K11" s="535"/>
      <c r="L11" s="535"/>
      <c r="M11" s="535"/>
      <c r="N11" s="535"/>
      <c r="O11" s="535"/>
      <c r="P11" s="535"/>
      <c r="Q11" s="535"/>
      <c r="R11" s="535"/>
      <c r="S11" s="535"/>
      <c r="T11" s="535"/>
      <c r="U11" s="535"/>
      <c r="V11" s="535"/>
      <c r="W11" s="535"/>
      <c r="X11" s="535"/>
      <c r="Y11" s="535"/>
      <c r="Z11" s="535"/>
      <c r="AA11" s="535"/>
      <c r="AB11" s="535"/>
      <c r="AC11" s="535"/>
      <c r="AD11" s="535"/>
      <c r="AE11" s="535"/>
      <c r="AF11" s="535"/>
      <c r="AG11" s="535"/>
      <c r="AH11" s="535"/>
      <c r="AI11" s="535"/>
      <c r="AJ11" s="535"/>
      <c r="AK11" s="535"/>
      <c r="AL11" s="535"/>
      <c r="AM11" s="535"/>
    </row>
    <row r="12" spans="1:39" ht="19.5" customHeight="1" x14ac:dyDescent="0.3">
      <c r="A12" s="535"/>
      <c r="B12" s="535"/>
      <c r="C12" s="535"/>
      <c r="D12" s="535"/>
      <c r="E12" s="535"/>
      <c r="F12" s="535"/>
      <c r="G12" s="535"/>
      <c r="H12" s="535"/>
      <c r="I12" s="535"/>
      <c r="J12" s="535"/>
      <c r="K12" s="535"/>
      <c r="L12" s="535"/>
      <c r="M12" s="535"/>
      <c r="N12" s="535"/>
      <c r="O12" s="535"/>
      <c r="P12" s="535"/>
      <c r="Q12" s="535"/>
      <c r="R12" s="535"/>
      <c r="S12" s="535"/>
      <c r="T12" s="535"/>
      <c r="U12" s="535"/>
      <c r="V12" s="535"/>
      <c r="W12" s="535"/>
      <c r="X12" s="535"/>
      <c r="Y12" s="535"/>
      <c r="Z12" s="535"/>
      <c r="AA12" s="535"/>
      <c r="AB12" s="535"/>
      <c r="AC12" s="535"/>
      <c r="AD12" s="535"/>
      <c r="AE12" s="535"/>
      <c r="AF12" s="535"/>
      <c r="AG12" s="535"/>
      <c r="AH12" s="535"/>
      <c r="AI12" s="535"/>
      <c r="AJ12" s="535"/>
      <c r="AK12" s="535"/>
      <c r="AL12" s="535"/>
      <c r="AM12" s="535"/>
    </row>
    <row r="13" spans="1:39" ht="19.5" customHeight="1" x14ac:dyDescent="0.3">
      <c r="A13" s="535"/>
      <c r="B13" s="535"/>
      <c r="C13" s="535"/>
      <c r="D13" s="535"/>
      <c r="E13" s="535"/>
      <c r="F13" s="535"/>
      <c r="G13" s="535"/>
      <c r="H13" s="535"/>
      <c r="I13" s="535"/>
      <c r="J13" s="535"/>
      <c r="K13" s="535"/>
      <c r="L13" s="535"/>
      <c r="M13" s="535"/>
      <c r="N13" s="535"/>
      <c r="O13" s="535"/>
      <c r="P13" s="535"/>
      <c r="Q13" s="535"/>
      <c r="R13" s="535"/>
      <c r="S13" s="535"/>
      <c r="T13" s="535"/>
      <c r="U13" s="535"/>
      <c r="V13" s="535"/>
      <c r="W13" s="535"/>
      <c r="X13" s="535"/>
      <c r="Y13" s="535"/>
      <c r="Z13" s="535"/>
      <c r="AA13" s="535"/>
      <c r="AB13" s="535"/>
      <c r="AC13" s="535"/>
      <c r="AD13" s="535"/>
      <c r="AE13" s="535"/>
      <c r="AF13" s="535"/>
      <c r="AG13" s="535"/>
      <c r="AH13" s="535"/>
      <c r="AI13" s="535"/>
      <c r="AJ13" s="535"/>
      <c r="AK13" s="535"/>
      <c r="AL13" s="535"/>
      <c r="AM13" s="535"/>
    </row>
    <row r="14" spans="1:39" ht="19.5" customHeight="1" x14ac:dyDescent="0.3">
      <c r="A14" s="535"/>
      <c r="B14" s="535"/>
      <c r="C14" s="535"/>
      <c r="D14" s="535"/>
      <c r="E14" s="535"/>
      <c r="F14" s="535"/>
      <c r="G14" s="535"/>
      <c r="H14" s="535"/>
      <c r="I14" s="535"/>
      <c r="J14" s="535"/>
      <c r="K14" s="535"/>
      <c r="L14" s="535"/>
      <c r="M14" s="535"/>
      <c r="N14" s="535"/>
      <c r="O14" s="535"/>
      <c r="P14" s="535"/>
      <c r="Q14" s="535"/>
      <c r="R14" s="535"/>
      <c r="S14" s="535"/>
      <c r="T14" s="535"/>
      <c r="U14" s="535"/>
      <c r="V14" s="535"/>
      <c r="W14" s="535"/>
      <c r="X14" s="535"/>
      <c r="Y14" s="535"/>
      <c r="Z14" s="535"/>
      <c r="AA14" s="535"/>
      <c r="AB14" s="535"/>
      <c r="AC14" s="535"/>
      <c r="AD14" s="535"/>
      <c r="AE14" s="535"/>
      <c r="AF14" s="535"/>
      <c r="AG14" s="535"/>
      <c r="AH14" s="535"/>
      <c r="AI14" s="535"/>
      <c r="AJ14" s="535"/>
      <c r="AK14" s="535"/>
      <c r="AL14" s="535"/>
      <c r="AM14" s="535"/>
    </row>
    <row r="15" spans="1:39" ht="19.5" customHeight="1" x14ac:dyDescent="0.3">
      <c r="A15" s="535"/>
      <c r="B15" s="535"/>
      <c r="C15" s="535"/>
      <c r="D15" s="535"/>
      <c r="E15" s="535"/>
      <c r="F15" s="535"/>
      <c r="G15" s="535"/>
      <c r="H15" s="535"/>
      <c r="I15" s="535"/>
      <c r="J15" s="535"/>
      <c r="K15" s="535"/>
      <c r="L15" s="535"/>
      <c r="M15" s="535"/>
      <c r="N15" s="535"/>
      <c r="O15" s="535"/>
      <c r="P15" s="535"/>
      <c r="Q15" s="535"/>
      <c r="R15" s="535"/>
      <c r="S15" s="535"/>
      <c r="T15" s="535"/>
      <c r="U15" s="535"/>
      <c r="V15" s="535"/>
      <c r="W15" s="535"/>
      <c r="X15" s="535"/>
      <c r="Y15" s="535"/>
      <c r="Z15" s="535"/>
      <c r="AA15" s="535"/>
      <c r="AB15" s="535"/>
      <c r="AC15" s="535"/>
      <c r="AD15" s="535"/>
      <c r="AE15" s="535"/>
      <c r="AF15" s="535"/>
      <c r="AG15" s="535"/>
      <c r="AH15" s="535"/>
      <c r="AI15" s="535"/>
      <c r="AJ15" s="535"/>
      <c r="AK15" s="535"/>
      <c r="AL15" s="535"/>
      <c r="AM15" s="535"/>
    </row>
    <row r="16" spans="1:39" ht="6" customHeight="1" x14ac:dyDescent="0.3"/>
    <row r="17" spans="1:39" ht="18.75" customHeight="1" x14ac:dyDescent="0.3">
      <c r="A17" s="534" t="s">
        <v>57</v>
      </c>
      <c r="B17" s="534"/>
      <c r="C17" s="534"/>
      <c r="D17" s="534"/>
      <c r="E17" s="534"/>
      <c r="F17" s="534"/>
      <c r="G17" s="534"/>
      <c r="H17" s="534"/>
      <c r="I17" s="534"/>
      <c r="J17" s="534"/>
      <c r="K17" s="534"/>
      <c r="L17" s="534"/>
      <c r="M17" s="534"/>
      <c r="N17" s="534"/>
      <c r="O17" s="534"/>
      <c r="P17" s="534"/>
      <c r="Q17" s="534"/>
      <c r="R17" s="534"/>
      <c r="S17" s="534"/>
      <c r="T17" s="534"/>
      <c r="U17" s="534"/>
      <c r="V17" s="534"/>
      <c r="W17" s="534"/>
      <c r="X17" s="534"/>
      <c r="Y17" s="534"/>
      <c r="Z17" s="534"/>
      <c r="AA17" s="534"/>
      <c r="AB17" s="534"/>
      <c r="AC17" s="534"/>
      <c r="AD17" s="534"/>
      <c r="AE17" s="534"/>
      <c r="AF17" s="534"/>
      <c r="AG17" s="534"/>
      <c r="AH17" s="534"/>
      <c r="AI17" s="534"/>
      <c r="AJ17" s="534"/>
      <c r="AK17" s="534"/>
      <c r="AL17" s="534"/>
      <c r="AM17" s="534"/>
    </row>
    <row r="18" spans="1:39" ht="22.5" customHeight="1" x14ac:dyDescent="0.3">
      <c r="A18" s="536" t="s">
        <v>58</v>
      </c>
      <c r="B18" s="537"/>
      <c r="C18" s="537"/>
      <c r="D18" s="537"/>
      <c r="E18" s="537"/>
      <c r="F18" s="537"/>
      <c r="G18" s="537"/>
      <c r="H18" s="537"/>
      <c r="I18" s="537"/>
      <c r="J18" s="537"/>
      <c r="K18" s="537"/>
      <c r="L18" s="537"/>
      <c r="M18" s="537"/>
      <c r="N18" s="537"/>
      <c r="O18" s="537"/>
      <c r="P18" s="537"/>
      <c r="Q18" s="537"/>
      <c r="R18" s="537"/>
      <c r="S18" s="537"/>
      <c r="T18" s="537"/>
      <c r="U18" s="537"/>
      <c r="V18" s="538"/>
      <c r="W18" s="542" t="s">
        <v>59</v>
      </c>
      <c r="X18" s="543"/>
      <c r="Y18" s="543"/>
      <c r="Z18" s="543"/>
      <c r="AA18" s="543"/>
      <c r="AB18" s="544"/>
      <c r="AC18" s="542" t="s">
        <v>59</v>
      </c>
      <c r="AD18" s="543"/>
      <c r="AE18" s="543"/>
      <c r="AF18" s="543"/>
      <c r="AG18" s="543"/>
      <c r="AH18" s="544"/>
      <c r="AI18" s="542" t="s">
        <v>59</v>
      </c>
      <c r="AJ18" s="543"/>
      <c r="AK18" s="543"/>
      <c r="AL18" s="543"/>
      <c r="AM18" s="544"/>
    </row>
    <row r="19" spans="1:39" ht="11.25" customHeight="1" x14ac:dyDescent="0.3">
      <c r="A19" s="539"/>
      <c r="B19" s="540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0"/>
      <c r="N19" s="540"/>
      <c r="O19" s="540"/>
      <c r="P19" s="540"/>
      <c r="Q19" s="540"/>
      <c r="R19" s="540"/>
      <c r="S19" s="540"/>
      <c r="T19" s="540"/>
      <c r="U19" s="540"/>
      <c r="V19" s="541"/>
      <c r="W19" s="545" t="s">
        <v>60</v>
      </c>
      <c r="X19" s="546"/>
      <c r="Y19" s="546"/>
      <c r="Z19" s="546"/>
      <c r="AA19" s="546"/>
      <c r="AB19" s="547"/>
      <c r="AC19" s="545" t="s">
        <v>60</v>
      </c>
      <c r="AD19" s="546"/>
      <c r="AE19" s="546"/>
      <c r="AF19" s="546"/>
      <c r="AG19" s="546"/>
      <c r="AH19" s="547"/>
      <c r="AI19" s="545" t="s">
        <v>60</v>
      </c>
      <c r="AJ19" s="546"/>
      <c r="AK19" s="546"/>
      <c r="AL19" s="546"/>
      <c r="AM19" s="547"/>
    </row>
    <row r="20" spans="1:39" ht="15" customHeight="1" x14ac:dyDescent="0.3">
      <c r="A20" s="553" t="s">
        <v>61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53"/>
      <c r="AB20" s="553"/>
      <c r="AC20" s="553"/>
      <c r="AD20" s="553"/>
      <c r="AE20" s="553"/>
      <c r="AF20" s="553"/>
      <c r="AG20" s="553"/>
      <c r="AH20" s="553"/>
      <c r="AI20" s="553"/>
      <c r="AJ20" s="553"/>
      <c r="AK20" s="553"/>
      <c r="AL20" s="553"/>
      <c r="AM20" s="553"/>
    </row>
    <row r="21" spans="1:39" ht="16.5" customHeight="1" x14ac:dyDescent="0.3">
      <c r="A21" s="7" t="s">
        <v>62</v>
      </c>
      <c r="B21" s="554" t="s">
        <v>63</v>
      </c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5"/>
      <c r="W21" s="550"/>
      <c r="X21" s="550"/>
      <c r="Y21" s="550"/>
      <c r="Z21" s="550"/>
      <c r="AA21" s="550"/>
      <c r="AB21" s="550"/>
      <c r="AC21" s="550"/>
      <c r="AD21" s="550"/>
      <c r="AE21" s="550"/>
      <c r="AF21" s="550"/>
      <c r="AG21" s="550"/>
      <c r="AH21" s="550"/>
      <c r="AI21" s="550"/>
      <c r="AJ21" s="550"/>
      <c r="AK21" s="550"/>
      <c r="AL21" s="550"/>
      <c r="AM21" s="550"/>
    </row>
    <row r="22" spans="1:39" ht="16.5" customHeight="1" x14ac:dyDescent="0.3">
      <c r="A22" s="7" t="s">
        <v>64</v>
      </c>
      <c r="B22" s="554" t="s">
        <v>65</v>
      </c>
      <c r="C22" s="554"/>
      <c r="D22" s="554"/>
      <c r="E22" s="554"/>
      <c r="F22" s="554"/>
      <c r="G22" s="554"/>
      <c r="H22" s="554"/>
      <c r="I22" s="554"/>
      <c r="J22" s="554"/>
      <c r="K22" s="554"/>
      <c r="L22" s="554"/>
      <c r="M22" s="554"/>
      <c r="N22" s="554"/>
      <c r="O22" s="554"/>
      <c r="P22" s="554"/>
      <c r="Q22" s="554"/>
      <c r="R22" s="554"/>
      <c r="S22" s="554"/>
      <c r="T22" s="554"/>
      <c r="U22" s="554"/>
      <c r="V22" s="555"/>
      <c r="W22" s="550"/>
      <c r="X22" s="550"/>
      <c r="Y22" s="550"/>
      <c r="Z22" s="550"/>
      <c r="AA22" s="550"/>
      <c r="AB22" s="550"/>
      <c r="AC22" s="550"/>
      <c r="AD22" s="550"/>
      <c r="AE22" s="550"/>
      <c r="AF22" s="550"/>
      <c r="AG22" s="550"/>
      <c r="AH22" s="550"/>
      <c r="AI22" s="550"/>
      <c r="AJ22" s="550"/>
      <c r="AK22" s="550"/>
      <c r="AL22" s="550"/>
      <c r="AM22" s="550"/>
    </row>
    <row r="23" spans="1:39" ht="16.5" customHeight="1" x14ac:dyDescent="0.3">
      <c r="A23" s="8" t="s">
        <v>66</v>
      </c>
      <c r="B23" s="548" t="s">
        <v>67</v>
      </c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8"/>
      <c r="N23" s="548"/>
      <c r="O23" s="548"/>
      <c r="P23" s="548"/>
      <c r="Q23" s="548"/>
      <c r="R23" s="548"/>
      <c r="S23" s="548"/>
      <c r="T23" s="548"/>
      <c r="U23" s="548"/>
      <c r="V23" s="549"/>
      <c r="W23" s="550"/>
      <c r="X23" s="550"/>
      <c r="Y23" s="550"/>
      <c r="Z23" s="550"/>
      <c r="AA23" s="550"/>
      <c r="AB23" s="550"/>
      <c r="AC23" s="550"/>
      <c r="AD23" s="550"/>
      <c r="AE23" s="550"/>
      <c r="AF23" s="550"/>
      <c r="AG23" s="550"/>
      <c r="AH23" s="550"/>
      <c r="AI23" s="550"/>
      <c r="AJ23" s="550"/>
      <c r="AK23" s="550"/>
      <c r="AL23" s="550"/>
      <c r="AM23" s="550"/>
    </row>
    <row r="24" spans="1:39" ht="16.5" customHeight="1" x14ac:dyDescent="0.3">
      <c r="A24" s="9"/>
      <c r="B24" s="551" t="s">
        <v>68</v>
      </c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1"/>
      <c r="P24" s="551"/>
      <c r="Q24" s="551"/>
      <c r="R24" s="551"/>
      <c r="S24" s="551"/>
      <c r="T24" s="551"/>
      <c r="U24" s="551"/>
      <c r="V24" s="552"/>
      <c r="W24" s="550"/>
      <c r="X24" s="550"/>
      <c r="Y24" s="550"/>
      <c r="Z24" s="550"/>
      <c r="AA24" s="550"/>
      <c r="AB24" s="550"/>
      <c r="AC24" s="550"/>
      <c r="AD24" s="550"/>
      <c r="AE24" s="550"/>
      <c r="AF24" s="550"/>
      <c r="AG24" s="550"/>
      <c r="AH24" s="550"/>
      <c r="AI24" s="550"/>
      <c r="AJ24" s="550"/>
      <c r="AK24" s="550"/>
      <c r="AL24" s="550"/>
      <c r="AM24" s="550"/>
    </row>
    <row r="25" spans="1:39" ht="16.5" customHeight="1" x14ac:dyDescent="0.3">
      <c r="A25" s="7" t="s">
        <v>69</v>
      </c>
      <c r="B25" s="554" t="s">
        <v>70</v>
      </c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5"/>
      <c r="W25" s="550"/>
      <c r="X25" s="550"/>
      <c r="Y25" s="550"/>
      <c r="Z25" s="550"/>
      <c r="AA25" s="550"/>
      <c r="AB25" s="550"/>
      <c r="AC25" s="550"/>
      <c r="AD25" s="550"/>
      <c r="AE25" s="550"/>
      <c r="AF25" s="550"/>
      <c r="AG25" s="550"/>
      <c r="AH25" s="550"/>
      <c r="AI25" s="550"/>
      <c r="AJ25" s="550"/>
      <c r="AK25" s="550"/>
      <c r="AL25" s="550"/>
      <c r="AM25" s="550"/>
    </row>
    <row r="26" spans="1:39" ht="16.5" customHeight="1" x14ac:dyDescent="0.3">
      <c r="A26" s="7" t="s">
        <v>71</v>
      </c>
      <c r="B26" s="554" t="s">
        <v>72</v>
      </c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5"/>
      <c r="W26" s="550"/>
      <c r="X26" s="550"/>
      <c r="Y26" s="550"/>
      <c r="Z26" s="550"/>
      <c r="AA26" s="550"/>
      <c r="AB26" s="550"/>
      <c r="AC26" s="550"/>
      <c r="AD26" s="550"/>
      <c r="AE26" s="550"/>
      <c r="AF26" s="550"/>
      <c r="AG26" s="550"/>
      <c r="AH26" s="550"/>
      <c r="AI26" s="550"/>
      <c r="AJ26" s="550"/>
      <c r="AK26" s="550"/>
      <c r="AL26" s="550"/>
      <c r="AM26" s="550"/>
    </row>
    <row r="27" spans="1:39" ht="16.5" customHeight="1" x14ac:dyDescent="0.3">
      <c r="A27" s="7" t="s">
        <v>73</v>
      </c>
      <c r="B27" s="554" t="s">
        <v>74</v>
      </c>
      <c r="C27" s="554"/>
      <c r="D27" s="554"/>
      <c r="E27" s="554"/>
      <c r="F27" s="554"/>
      <c r="G27" s="554"/>
      <c r="H27" s="554"/>
      <c r="I27" s="554"/>
      <c r="J27" s="554"/>
      <c r="K27" s="554"/>
      <c r="L27" s="554"/>
      <c r="M27" s="554"/>
      <c r="N27" s="554"/>
      <c r="O27" s="554"/>
      <c r="P27" s="554"/>
      <c r="Q27" s="554"/>
      <c r="R27" s="554"/>
      <c r="S27" s="554"/>
      <c r="T27" s="554"/>
      <c r="U27" s="554"/>
      <c r="V27" s="555"/>
      <c r="W27" s="550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0"/>
      <c r="AM27" s="550"/>
    </row>
    <row r="28" spans="1:39" ht="16.5" customHeight="1" x14ac:dyDescent="0.3">
      <c r="A28" s="7" t="s">
        <v>75</v>
      </c>
      <c r="B28" s="554" t="s">
        <v>76</v>
      </c>
      <c r="C28" s="554"/>
      <c r="D28" s="554"/>
      <c r="E28" s="554"/>
      <c r="F28" s="554"/>
      <c r="G28" s="554"/>
      <c r="H28" s="554"/>
      <c r="I28" s="554"/>
      <c r="J28" s="554"/>
      <c r="K28" s="554"/>
      <c r="L28" s="554"/>
      <c r="M28" s="554"/>
      <c r="N28" s="554"/>
      <c r="O28" s="554"/>
      <c r="P28" s="554"/>
      <c r="Q28" s="554"/>
      <c r="R28" s="554"/>
      <c r="S28" s="554"/>
      <c r="T28" s="554"/>
      <c r="U28" s="554"/>
      <c r="V28" s="555"/>
      <c r="W28" s="550"/>
      <c r="X28" s="550"/>
      <c r="Y28" s="550"/>
      <c r="Z28" s="550"/>
      <c r="AA28" s="550"/>
      <c r="AB28" s="550"/>
      <c r="AC28" s="550"/>
      <c r="AD28" s="550"/>
      <c r="AE28" s="550"/>
      <c r="AF28" s="550"/>
      <c r="AG28" s="550"/>
      <c r="AH28" s="550"/>
      <c r="AI28" s="550"/>
      <c r="AJ28" s="550"/>
      <c r="AK28" s="550"/>
      <c r="AL28" s="550"/>
      <c r="AM28" s="550"/>
    </row>
    <row r="29" spans="1:39" ht="16.5" customHeight="1" x14ac:dyDescent="0.3">
      <c r="A29" s="7" t="s">
        <v>77</v>
      </c>
      <c r="B29" s="554" t="s">
        <v>78</v>
      </c>
      <c r="C29" s="554"/>
      <c r="D29" s="554"/>
      <c r="E29" s="554"/>
      <c r="F29" s="554"/>
      <c r="G29" s="554"/>
      <c r="H29" s="554"/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5"/>
      <c r="W29" s="550"/>
      <c r="X29" s="550"/>
      <c r="Y29" s="550"/>
      <c r="Z29" s="550"/>
      <c r="AA29" s="550"/>
      <c r="AB29" s="550"/>
      <c r="AC29" s="550"/>
      <c r="AD29" s="550"/>
      <c r="AE29" s="550"/>
      <c r="AF29" s="550"/>
      <c r="AG29" s="550"/>
      <c r="AH29" s="550"/>
      <c r="AI29" s="550"/>
      <c r="AJ29" s="550"/>
      <c r="AK29" s="550"/>
      <c r="AL29" s="550"/>
      <c r="AM29" s="550"/>
    </row>
    <row r="30" spans="1:39" ht="16.5" customHeight="1" x14ac:dyDescent="0.3">
      <c r="A30" s="553" t="s">
        <v>79</v>
      </c>
      <c r="B30" s="553"/>
      <c r="C30" s="553"/>
      <c r="D30" s="553"/>
      <c r="E30" s="553"/>
      <c r="F30" s="553"/>
      <c r="G30" s="553"/>
      <c r="H30" s="553"/>
      <c r="I30" s="553"/>
      <c r="J30" s="553"/>
      <c r="K30" s="553"/>
      <c r="L30" s="553"/>
      <c r="M30" s="553"/>
      <c r="N30" s="553"/>
      <c r="O30" s="553"/>
      <c r="P30" s="553"/>
      <c r="Q30" s="553"/>
      <c r="R30" s="553"/>
      <c r="S30" s="553"/>
      <c r="T30" s="553"/>
      <c r="U30" s="553"/>
      <c r="V30" s="553"/>
      <c r="W30" s="553"/>
      <c r="X30" s="553"/>
      <c r="Y30" s="553"/>
      <c r="Z30" s="553"/>
      <c r="AA30" s="553"/>
      <c r="AB30" s="553"/>
      <c r="AC30" s="553"/>
      <c r="AD30" s="553"/>
      <c r="AE30" s="553"/>
      <c r="AF30" s="553"/>
      <c r="AG30" s="553"/>
      <c r="AH30" s="553"/>
      <c r="AI30" s="553"/>
      <c r="AJ30" s="553"/>
      <c r="AK30" s="553"/>
      <c r="AL30" s="553"/>
      <c r="AM30" s="553"/>
    </row>
    <row r="31" spans="1:39" ht="16.5" customHeight="1" x14ac:dyDescent="0.3">
      <c r="A31" s="7" t="s">
        <v>62</v>
      </c>
      <c r="B31" s="554" t="s">
        <v>80</v>
      </c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4"/>
      <c r="P31" s="554"/>
      <c r="Q31" s="554"/>
      <c r="R31" s="554"/>
      <c r="S31" s="554"/>
      <c r="T31" s="554"/>
      <c r="U31" s="554"/>
      <c r="V31" s="555"/>
      <c r="W31" s="550"/>
      <c r="X31" s="550"/>
      <c r="Y31" s="550"/>
      <c r="Z31" s="550"/>
      <c r="AA31" s="550"/>
      <c r="AB31" s="550"/>
      <c r="AC31" s="550"/>
      <c r="AD31" s="550"/>
      <c r="AE31" s="550"/>
      <c r="AF31" s="550"/>
      <c r="AG31" s="550"/>
      <c r="AH31" s="550"/>
      <c r="AI31" s="550"/>
      <c r="AJ31" s="550"/>
      <c r="AK31" s="550"/>
      <c r="AL31" s="550"/>
      <c r="AM31" s="550"/>
    </row>
    <row r="32" spans="1:39" ht="16.5" customHeight="1" x14ac:dyDescent="0.3">
      <c r="A32" s="7" t="s">
        <v>64</v>
      </c>
      <c r="B32" s="554" t="s">
        <v>81</v>
      </c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4"/>
      <c r="P32" s="554"/>
      <c r="Q32" s="554"/>
      <c r="R32" s="554"/>
      <c r="S32" s="554"/>
      <c r="T32" s="554"/>
      <c r="U32" s="554"/>
      <c r="V32" s="555"/>
      <c r="W32" s="550"/>
      <c r="X32" s="550"/>
      <c r="Y32" s="550"/>
      <c r="Z32" s="550"/>
      <c r="AA32" s="550"/>
      <c r="AB32" s="550"/>
      <c r="AC32" s="550"/>
      <c r="AD32" s="550"/>
      <c r="AE32" s="550"/>
      <c r="AF32" s="550"/>
      <c r="AG32" s="550"/>
      <c r="AH32" s="550"/>
      <c r="AI32" s="550"/>
      <c r="AJ32" s="550"/>
      <c r="AK32" s="550"/>
      <c r="AL32" s="550"/>
      <c r="AM32" s="550"/>
    </row>
    <row r="33" spans="1:39" ht="16.5" customHeight="1" x14ac:dyDescent="0.3">
      <c r="A33" s="7" t="s">
        <v>66</v>
      </c>
      <c r="B33" s="554" t="s">
        <v>82</v>
      </c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5"/>
      <c r="W33" s="550"/>
      <c r="X33" s="550"/>
      <c r="Y33" s="550"/>
      <c r="Z33" s="550"/>
      <c r="AA33" s="550"/>
      <c r="AB33" s="550"/>
      <c r="AC33" s="550"/>
      <c r="AD33" s="550"/>
      <c r="AE33" s="550"/>
      <c r="AF33" s="550"/>
      <c r="AG33" s="550"/>
      <c r="AH33" s="550"/>
      <c r="AI33" s="550"/>
      <c r="AJ33" s="550"/>
      <c r="AK33" s="550"/>
      <c r="AL33" s="550"/>
      <c r="AM33" s="550"/>
    </row>
    <row r="34" spans="1:39" ht="16.5" customHeight="1" x14ac:dyDescent="0.3">
      <c r="A34" s="8" t="s">
        <v>69</v>
      </c>
      <c r="B34" s="548" t="s">
        <v>83</v>
      </c>
      <c r="C34" s="548"/>
      <c r="D34" s="548"/>
      <c r="E34" s="548"/>
      <c r="F34" s="548"/>
      <c r="G34" s="548"/>
      <c r="H34" s="548"/>
      <c r="I34" s="548"/>
      <c r="J34" s="548"/>
      <c r="K34" s="548"/>
      <c r="L34" s="548"/>
      <c r="M34" s="548"/>
      <c r="N34" s="548"/>
      <c r="O34" s="548"/>
      <c r="P34" s="548"/>
      <c r="Q34" s="548"/>
      <c r="R34" s="548"/>
      <c r="S34" s="548"/>
      <c r="T34" s="548"/>
      <c r="U34" s="548"/>
      <c r="V34" s="549"/>
      <c r="W34" s="550"/>
      <c r="X34" s="550"/>
      <c r="Y34" s="550"/>
      <c r="Z34" s="550"/>
      <c r="AA34" s="550"/>
      <c r="AB34" s="550"/>
      <c r="AC34" s="550"/>
      <c r="AD34" s="550"/>
      <c r="AE34" s="550"/>
      <c r="AF34" s="550"/>
      <c r="AG34" s="550"/>
      <c r="AH34" s="550"/>
      <c r="AI34" s="550"/>
      <c r="AJ34" s="550"/>
      <c r="AK34" s="550"/>
      <c r="AL34" s="550"/>
      <c r="AM34" s="550"/>
    </row>
    <row r="35" spans="1:39" ht="16.5" customHeight="1" x14ac:dyDescent="0.3">
      <c r="A35" s="9"/>
      <c r="B35" s="551" t="s">
        <v>84</v>
      </c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1"/>
      <c r="P35" s="551"/>
      <c r="Q35" s="551"/>
      <c r="R35" s="551"/>
      <c r="S35" s="551"/>
      <c r="T35" s="551"/>
      <c r="U35" s="551"/>
      <c r="V35" s="552"/>
      <c r="W35" s="550"/>
      <c r="X35" s="550"/>
      <c r="Y35" s="550"/>
      <c r="Z35" s="550"/>
      <c r="AA35" s="550"/>
      <c r="AB35" s="550"/>
      <c r="AC35" s="550"/>
      <c r="AD35" s="550"/>
      <c r="AE35" s="550"/>
      <c r="AF35" s="550"/>
      <c r="AG35" s="550"/>
      <c r="AH35" s="550"/>
      <c r="AI35" s="550"/>
      <c r="AJ35" s="550"/>
      <c r="AK35" s="550"/>
      <c r="AL35" s="550"/>
      <c r="AM35" s="550"/>
    </row>
    <row r="36" spans="1:39" ht="16.5" customHeight="1" x14ac:dyDescent="0.3">
      <c r="A36" s="7" t="s">
        <v>71</v>
      </c>
      <c r="B36" s="554" t="s">
        <v>85</v>
      </c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4"/>
      <c r="P36" s="554"/>
      <c r="Q36" s="554"/>
      <c r="R36" s="554"/>
      <c r="S36" s="554"/>
      <c r="T36" s="554"/>
      <c r="U36" s="554"/>
      <c r="V36" s="555"/>
      <c r="W36" s="550"/>
      <c r="X36" s="550"/>
      <c r="Y36" s="550"/>
      <c r="Z36" s="550"/>
      <c r="AA36" s="550"/>
      <c r="AB36" s="550"/>
      <c r="AC36" s="550"/>
      <c r="AD36" s="550"/>
      <c r="AE36" s="550"/>
      <c r="AF36" s="550"/>
      <c r="AG36" s="550"/>
      <c r="AH36" s="550"/>
      <c r="AI36" s="550"/>
      <c r="AJ36" s="550"/>
      <c r="AK36" s="550"/>
      <c r="AL36" s="550"/>
      <c r="AM36" s="550"/>
    </row>
    <row r="37" spans="1:39" ht="16.5" customHeight="1" x14ac:dyDescent="0.3">
      <c r="A37" s="556" t="s">
        <v>73</v>
      </c>
      <c r="B37" s="548" t="s">
        <v>86</v>
      </c>
      <c r="C37" s="548"/>
      <c r="D37" s="548"/>
      <c r="E37" s="548"/>
      <c r="F37" s="548"/>
      <c r="G37" s="548"/>
      <c r="H37" s="548"/>
      <c r="I37" s="548"/>
      <c r="J37" s="548"/>
      <c r="K37" s="548"/>
      <c r="L37" s="548"/>
      <c r="M37" s="548"/>
      <c r="N37" s="548"/>
      <c r="O37" s="548"/>
      <c r="P37" s="548"/>
      <c r="Q37" s="548"/>
      <c r="R37" s="548"/>
      <c r="S37" s="548"/>
      <c r="T37" s="548"/>
      <c r="U37" s="548"/>
      <c r="V37" s="549"/>
      <c r="W37" s="550"/>
      <c r="X37" s="550"/>
      <c r="Y37" s="550"/>
      <c r="Z37" s="550"/>
      <c r="AA37" s="550"/>
      <c r="AB37" s="550"/>
      <c r="AC37" s="550"/>
      <c r="AD37" s="550"/>
      <c r="AE37" s="550"/>
      <c r="AF37" s="550"/>
      <c r="AG37" s="550"/>
      <c r="AH37" s="550"/>
      <c r="AI37" s="550"/>
      <c r="AJ37" s="550"/>
      <c r="AK37" s="550"/>
      <c r="AL37" s="550"/>
      <c r="AM37" s="550"/>
    </row>
    <row r="38" spans="1:39" ht="16.5" customHeight="1" x14ac:dyDescent="0.3">
      <c r="A38" s="557"/>
      <c r="B38" s="559" t="s">
        <v>32</v>
      </c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60"/>
      <c r="W38" s="550"/>
      <c r="X38" s="550"/>
      <c r="Y38" s="550"/>
      <c r="Z38" s="550"/>
      <c r="AA38" s="550"/>
      <c r="AB38" s="550"/>
      <c r="AC38" s="550"/>
      <c r="AD38" s="550"/>
      <c r="AE38" s="550"/>
      <c r="AF38" s="550"/>
      <c r="AG38" s="550"/>
      <c r="AH38" s="550"/>
      <c r="AI38" s="550"/>
      <c r="AJ38" s="550"/>
      <c r="AK38" s="550"/>
      <c r="AL38" s="550"/>
      <c r="AM38" s="550"/>
    </row>
    <row r="39" spans="1:39" ht="16.5" customHeight="1" x14ac:dyDescent="0.3">
      <c r="A39" s="558"/>
      <c r="B39" s="561" t="s">
        <v>32</v>
      </c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2"/>
      <c r="W39" s="550"/>
      <c r="X39" s="550"/>
      <c r="Y39" s="550"/>
      <c r="Z39" s="550"/>
      <c r="AA39" s="550"/>
      <c r="AB39" s="550"/>
      <c r="AC39" s="550"/>
      <c r="AD39" s="550"/>
      <c r="AE39" s="550"/>
      <c r="AF39" s="550"/>
      <c r="AG39" s="550"/>
      <c r="AH39" s="550"/>
      <c r="AI39" s="550"/>
      <c r="AJ39" s="550"/>
      <c r="AK39" s="550"/>
      <c r="AL39" s="550"/>
      <c r="AM39" s="550"/>
    </row>
    <row r="40" spans="1:39" ht="16.5" customHeight="1" x14ac:dyDescent="0.3">
      <c r="A40" s="7" t="s">
        <v>75</v>
      </c>
      <c r="B40" s="554" t="s">
        <v>87</v>
      </c>
      <c r="C40" s="554"/>
      <c r="D40" s="554"/>
      <c r="E40" s="554"/>
      <c r="F40" s="554"/>
      <c r="G40" s="554"/>
      <c r="H40" s="554"/>
      <c r="I40" s="554"/>
      <c r="J40" s="554"/>
      <c r="K40" s="554"/>
      <c r="L40" s="554"/>
      <c r="M40" s="554"/>
      <c r="N40" s="554"/>
      <c r="O40" s="554"/>
      <c r="P40" s="554"/>
      <c r="Q40" s="554"/>
      <c r="R40" s="554"/>
      <c r="S40" s="554"/>
      <c r="T40" s="554"/>
      <c r="U40" s="554"/>
      <c r="V40" s="555"/>
      <c r="W40" s="550"/>
      <c r="X40" s="550"/>
      <c r="Y40" s="550"/>
      <c r="Z40" s="550"/>
      <c r="AA40" s="550"/>
      <c r="AB40" s="550"/>
      <c r="AC40" s="550"/>
      <c r="AD40" s="550"/>
      <c r="AE40" s="550"/>
      <c r="AF40" s="550"/>
      <c r="AG40" s="550"/>
      <c r="AH40" s="550"/>
      <c r="AI40" s="550"/>
      <c r="AJ40" s="550"/>
      <c r="AK40" s="550"/>
      <c r="AL40" s="550"/>
      <c r="AM40" s="550"/>
    </row>
    <row r="41" spans="1:39" ht="16.5" customHeight="1" x14ac:dyDescent="0.3">
      <c r="A41" s="7" t="s">
        <v>77</v>
      </c>
      <c r="B41" s="554" t="s">
        <v>88</v>
      </c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5"/>
      <c r="W41" s="550"/>
      <c r="X41" s="550"/>
      <c r="Y41" s="550"/>
      <c r="Z41" s="550"/>
      <c r="AA41" s="550"/>
      <c r="AB41" s="550"/>
      <c r="AC41" s="550"/>
      <c r="AD41" s="550"/>
      <c r="AE41" s="550"/>
      <c r="AF41" s="550"/>
      <c r="AG41" s="550"/>
      <c r="AH41" s="550"/>
      <c r="AI41" s="550"/>
      <c r="AJ41" s="550"/>
      <c r="AK41" s="550"/>
      <c r="AL41" s="550"/>
      <c r="AM41" s="550"/>
    </row>
    <row r="42" spans="1:39" ht="16.5" customHeight="1" x14ac:dyDescent="0.3">
      <c r="A42" s="7" t="s">
        <v>89</v>
      </c>
      <c r="B42" s="554" t="s">
        <v>90</v>
      </c>
      <c r="C42" s="554"/>
      <c r="D42" s="554"/>
      <c r="E42" s="554"/>
      <c r="F42" s="554"/>
      <c r="G42" s="554"/>
      <c r="H42" s="554"/>
      <c r="I42" s="554"/>
      <c r="J42" s="554"/>
      <c r="K42" s="554"/>
      <c r="L42" s="554"/>
      <c r="M42" s="554"/>
      <c r="N42" s="554"/>
      <c r="O42" s="554"/>
      <c r="P42" s="554"/>
      <c r="Q42" s="554"/>
      <c r="R42" s="554"/>
      <c r="S42" s="554"/>
      <c r="T42" s="554"/>
      <c r="U42" s="554"/>
      <c r="V42" s="555"/>
      <c r="W42" s="550"/>
      <c r="X42" s="550"/>
      <c r="Y42" s="550"/>
      <c r="Z42" s="550"/>
      <c r="AA42" s="550"/>
      <c r="AB42" s="550"/>
      <c r="AC42" s="550"/>
      <c r="AD42" s="550"/>
      <c r="AE42" s="550"/>
      <c r="AF42" s="550"/>
      <c r="AG42" s="550"/>
      <c r="AH42" s="550"/>
      <c r="AI42" s="550"/>
      <c r="AJ42" s="550"/>
      <c r="AK42" s="550"/>
      <c r="AL42" s="550"/>
      <c r="AM42" s="550"/>
    </row>
  </sheetData>
  <mergeCells count="202">
    <mergeCell ref="AI36:AM36"/>
    <mergeCell ref="B42:V42"/>
    <mergeCell ref="W42:AB42"/>
    <mergeCell ref="AC42:AH42"/>
    <mergeCell ref="AI42:AM42"/>
    <mergeCell ref="B40:V40"/>
    <mergeCell ref="W40:AB40"/>
    <mergeCell ref="AC40:AH40"/>
    <mergeCell ref="AI40:AM40"/>
    <mergeCell ref="B41:V41"/>
    <mergeCell ref="W41:AB41"/>
    <mergeCell ref="AC41:AH41"/>
    <mergeCell ref="AI41:AM41"/>
    <mergeCell ref="A37:A39"/>
    <mergeCell ref="B37:V37"/>
    <mergeCell ref="W37:AB37"/>
    <mergeCell ref="AC37:AH37"/>
    <mergeCell ref="AI37:AM37"/>
    <mergeCell ref="B38:V38"/>
    <mergeCell ref="B34:V34"/>
    <mergeCell ref="W34:AB34"/>
    <mergeCell ref="AC34:AH34"/>
    <mergeCell ref="AI34:AM34"/>
    <mergeCell ref="B35:V35"/>
    <mergeCell ref="W35:AB35"/>
    <mergeCell ref="AC35:AH35"/>
    <mergeCell ref="AI35:AM35"/>
    <mergeCell ref="W38:AB38"/>
    <mergeCell ref="AC38:AH38"/>
    <mergeCell ref="AI38:AM38"/>
    <mergeCell ref="B39:V39"/>
    <mergeCell ref="W39:AB39"/>
    <mergeCell ref="AC39:AH39"/>
    <mergeCell ref="AI39:AM39"/>
    <mergeCell ref="B36:V36"/>
    <mergeCell ref="W36:AB36"/>
    <mergeCell ref="AC36:AH36"/>
    <mergeCell ref="B32:V32"/>
    <mergeCell ref="W32:AB32"/>
    <mergeCell ref="AC32:AH32"/>
    <mergeCell ref="AI32:AM32"/>
    <mergeCell ref="B33:V33"/>
    <mergeCell ref="W33:AB33"/>
    <mergeCell ref="AC33:AH33"/>
    <mergeCell ref="AI33:AM33"/>
    <mergeCell ref="B29:V29"/>
    <mergeCell ref="W29:AB29"/>
    <mergeCell ref="AC29:AH29"/>
    <mergeCell ref="AI29:AM29"/>
    <mergeCell ref="A30:AM30"/>
    <mergeCell ref="B31:V31"/>
    <mergeCell ref="W31:AB31"/>
    <mergeCell ref="AC31:AH31"/>
    <mergeCell ref="AI31:AM31"/>
    <mergeCell ref="B27:V27"/>
    <mergeCell ref="W27:AB27"/>
    <mergeCell ref="AC27:AH27"/>
    <mergeCell ref="AI27:AM27"/>
    <mergeCell ref="B28:V28"/>
    <mergeCell ref="W28:AB28"/>
    <mergeCell ref="AC28:AH28"/>
    <mergeCell ref="AI28:AM28"/>
    <mergeCell ref="B25:V25"/>
    <mergeCell ref="W25:AB25"/>
    <mergeCell ref="AC25:AH25"/>
    <mergeCell ref="AI25:AM25"/>
    <mergeCell ref="B26:V26"/>
    <mergeCell ref="W26:AB26"/>
    <mergeCell ref="AC26:AH26"/>
    <mergeCell ref="AI26:AM26"/>
    <mergeCell ref="B24:V24"/>
    <mergeCell ref="W24:AB24"/>
    <mergeCell ref="AC24:AH24"/>
    <mergeCell ref="AI24:AM24"/>
    <mergeCell ref="A20:AM20"/>
    <mergeCell ref="B21:V21"/>
    <mergeCell ref="W21:AB21"/>
    <mergeCell ref="AC21:AH21"/>
    <mergeCell ref="AI21:AM21"/>
    <mergeCell ref="B22:V22"/>
    <mergeCell ref="W22:AB22"/>
    <mergeCell ref="AC22:AH22"/>
    <mergeCell ref="AI22:AM22"/>
    <mergeCell ref="A17:AM17"/>
    <mergeCell ref="A18:V19"/>
    <mergeCell ref="W18:AB18"/>
    <mergeCell ref="AC18:AH18"/>
    <mergeCell ref="AI18:AM18"/>
    <mergeCell ref="W19:AB19"/>
    <mergeCell ref="AC19:AH19"/>
    <mergeCell ref="AI19:AM19"/>
    <mergeCell ref="B23:V23"/>
    <mergeCell ref="W23:AB23"/>
    <mergeCell ref="AC23:AH23"/>
    <mergeCell ref="AI23:AM23"/>
    <mergeCell ref="AA14:AB14"/>
    <mergeCell ref="AC14:AI14"/>
    <mergeCell ref="AJ14:AM14"/>
    <mergeCell ref="A15:B15"/>
    <mergeCell ref="C15:I15"/>
    <mergeCell ref="J15:M15"/>
    <mergeCell ref="N15:O15"/>
    <mergeCell ref="P15:V15"/>
    <mergeCell ref="W15:Z15"/>
    <mergeCell ref="AA15:AB15"/>
    <mergeCell ref="A14:B14"/>
    <mergeCell ref="C14:I14"/>
    <mergeCell ref="J14:M14"/>
    <mergeCell ref="N14:O14"/>
    <mergeCell ref="P14:V14"/>
    <mergeCell ref="W14:Z14"/>
    <mergeCell ref="AC15:AI15"/>
    <mergeCell ref="AJ15:AM15"/>
    <mergeCell ref="A13:B13"/>
    <mergeCell ref="C13:I13"/>
    <mergeCell ref="J13:M13"/>
    <mergeCell ref="N13:O13"/>
    <mergeCell ref="P13:V13"/>
    <mergeCell ref="W13:Z13"/>
    <mergeCell ref="AA13:AB13"/>
    <mergeCell ref="AC13:AI13"/>
    <mergeCell ref="AJ13:AM13"/>
    <mergeCell ref="A12:B12"/>
    <mergeCell ref="C12:I12"/>
    <mergeCell ref="J12:M12"/>
    <mergeCell ref="N12:O12"/>
    <mergeCell ref="P12:V12"/>
    <mergeCell ref="W12:Z12"/>
    <mergeCell ref="AA12:AB12"/>
    <mergeCell ref="AC12:AI12"/>
    <mergeCell ref="AJ12:AM12"/>
    <mergeCell ref="AA10:AB10"/>
    <mergeCell ref="AC10:AI10"/>
    <mergeCell ref="AJ10:AM10"/>
    <mergeCell ref="A11:B11"/>
    <mergeCell ref="C11:I11"/>
    <mergeCell ref="J11:M11"/>
    <mergeCell ref="N11:O11"/>
    <mergeCell ref="P11:V11"/>
    <mergeCell ref="W11:Z11"/>
    <mergeCell ref="AA11:AB11"/>
    <mergeCell ref="A10:B10"/>
    <mergeCell ref="C10:I10"/>
    <mergeCell ref="J10:M10"/>
    <mergeCell ref="N10:O10"/>
    <mergeCell ref="P10:V10"/>
    <mergeCell ref="W10:Z10"/>
    <mergeCell ref="AC11:AI11"/>
    <mergeCell ref="AJ11:AM11"/>
    <mergeCell ref="A9:B9"/>
    <mergeCell ref="C9:I9"/>
    <mergeCell ref="J9:M9"/>
    <mergeCell ref="N9:O9"/>
    <mergeCell ref="P9:V9"/>
    <mergeCell ref="W9:Z9"/>
    <mergeCell ref="AA9:AB9"/>
    <mergeCell ref="AC9:AI9"/>
    <mergeCell ref="AJ9:AM9"/>
    <mergeCell ref="A8:B8"/>
    <mergeCell ref="C8:I8"/>
    <mergeCell ref="J8:M8"/>
    <mergeCell ref="N8:O8"/>
    <mergeCell ref="P8:V8"/>
    <mergeCell ref="W8:Z8"/>
    <mergeCell ref="AA8:AB8"/>
    <mergeCell ref="AC8:AI8"/>
    <mergeCell ref="AJ8:AM8"/>
    <mergeCell ref="AA6:AB6"/>
    <mergeCell ref="AC6:AI6"/>
    <mergeCell ref="AJ6:AM6"/>
    <mergeCell ref="A7:B7"/>
    <mergeCell ref="C7:I7"/>
    <mergeCell ref="J7:M7"/>
    <mergeCell ref="N7:O7"/>
    <mergeCell ref="P7:V7"/>
    <mergeCell ref="W7:Z7"/>
    <mergeCell ref="AA7:AB7"/>
    <mergeCell ref="A6:B6"/>
    <mergeCell ref="C6:I6"/>
    <mergeCell ref="J6:M6"/>
    <mergeCell ref="N6:O6"/>
    <mergeCell ref="P6:V6"/>
    <mergeCell ref="W6:Z6"/>
    <mergeCell ref="AC7:AI7"/>
    <mergeCell ref="AJ7:AM7"/>
    <mergeCell ref="A1:AM1"/>
    <mergeCell ref="A2:E2"/>
    <mergeCell ref="F2:K2"/>
    <mergeCell ref="L2:P2"/>
    <mergeCell ref="Q2:V2"/>
    <mergeCell ref="W2:AD2"/>
    <mergeCell ref="AE2:AM2"/>
    <mergeCell ref="A4:AM4"/>
    <mergeCell ref="A5:B5"/>
    <mergeCell ref="C5:I5"/>
    <mergeCell ref="J5:M5"/>
    <mergeCell ref="N5:O5"/>
    <mergeCell ref="P5:V5"/>
    <mergeCell ref="W5:Z5"/>
    <mergeCell ref="AA5:AB5"/>
    <mergeCell ref="AC5:AI5"/>
    <mergeCell ref="AJ5:AM5"/>
  </mergeCells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CFF2-573C-4AED-BCCC-E945DE7822E6}">
  <dimension ref="A1:L27"/>
  <sheetViews>
    <sheetView view="pageBreakPreview" zoomScale="85" zoomScaleNormal="85" zoomScaleSheetLayoutView="85" workbookViewId="0">
      <selection activeCell="B12" sqref="B12:C15"/>
    </sheetView>
  </sheetViews>
  <sheetFormatPr defaultRowHeight="16.5" x14ac:dyDescent="0.3"/>
  <cols>
    <col min="1" max="1" width="13" style="10" customWidth="1"/>
    <col min="2" max="2" width="14.5" style="10" customWidth="1"/>
    <col min="3" max="3" width="7.875" style="10" customWidth="1"/>
    <col min="4" max="7" width="6.5" style="10" customWidth="1"/>
    <col min="8" max="8" width="4.125" style="10" customWidth="1"/>
    <col min="9" max="20" width="6.5" style="10" customWidth="1"/>
    <col min="21" max="16384" width="9" style="10"/>
  </cols>
  <sheetData>
    <row r="1" spans="1:12" ht="25.5" customHeight="1" x14ac:dyDescent="0.3">
      <c r="A1" s="563" t="s">
        <v>91</v>
      </c>
      <c r="B1" s="563"/>
      <c r="C1" s="563"/>
      <c r="D1" s="563"/>
      <c r="E1" s="563"/>
      <c r="F1" s="563"/>
      <c r="G1" s="564"/>
      <c r="H1" s="565" t="s">
        <v>92</v>
      </c>
      <c r="I1" s="566" t="s">
        <v>93</v>
      </c>
      <c r="J1" s="566"/>
      <c r="K1" s="567" t="s">
        <v>423</v>
      </c>
      <c r="L1" s="567"/>
    </row>
    <row r="2" spans="1:12" ht="30" customHeight="1" x14ac:dyDescent="0.3">
      <c r="A2" s="563"/>
      <c r="B2" s="563"/>
      <c r="C2" s="563"/>
      <c r="D2" s="563"/>
      <c r="E2" s="563"/>
      <c r="F2" s="563"/>
      <c r="G2" s="564"/>
      <c r="H2" s="565"/>
      <c r="I2" s="566"/>
      <c r="J2" s="566"/>
      <c r="K2" s="566"/>
      <c r="L2" s="566"/>
    </row>
    <row r="3" spans="1:12" ht="24.75" customHeight="1" x14ac:dyDescent="0.3">
      <c r="A3" s="568" t="s">
        <v>94</v>
      </c>
      <c r="B3" s="568"/>
      <c r="C3" s="568"/>
      <c r="D3" s="568"/>
      <c r="E3" s="568"/>
      <c r="F3" s="568"/>
      <c r="G3" s="569"/>
      <c r="H3" s="565"/>
      <c r="I3" s="566"/>
      <c r="J3" s="566"/>
      <c r="K3" s="566"/>
      <c r="L3" s="566"/>
    </row>
    <row r="4" spans="1:12" ht="26.1" customHeight="1" x14ac:dyDescent="0.3">
      <c r="A4" s="11" t="s">
        <v>95</v>
      </c>
      <c r="B4" s="570" t="s">
        <v>96</v>
      </c>
      <c r="C4" s="570"/>
      <c r="D4" s="570"/>
      <c r="E4" s="570"/>
      <c r="F4" s="571" t="s">
        <v>97</v>
      </c>
      <c r="G4" s="571"/>
      <c r="H4" s="571"/>
      <c r="I4" s="566" t="s">
        <v>96</v>
      </c>
      <c r="J4" s="566"/>
      <c r="K4" s="566"/>
      <c r="L4" s="566"/>
    </row>
    <row r="5" spans="1:12" ht="26.1" customHeight="1" x14ac:dyDescent="0.3">
      <c r="A5" s="11" t="s">
        <v>98</v>
      </c>
      <c r="B5" s="570" t="s">
        <v>96</v>
      </c>
      <c r="C5" s="570"/>
      <c r="D5" s="570"/>
      <c r="E5" s="570"/>
      <c r="F5" s="571" t="s">
        <v>164</v>
      </c>
      <c r="G5" s="571"/>
      <c r="H5" s="571"/>
      <c r="I5" s="566" t="s">
        <v>96</v>
      </c>
      <c r="J5" s="566"/>
      <c r="K5" s="566"/>
      <c r="L5" s="566"/>
    </row>
    <row r="6" spans="1:12" ht="26.1" customHeight="1" x14ac:dyDescent="0.3">
      <c r="A6" s="572" t="s">
        <v>99</v>
      </c>
      <c r="B6" s="12" t="s">
        <v>100</v>
      </c>
      <c r="C6" s="570" t="s">
        <v>96</v>
      </c>
      <c r="D6" s="570"/>
      <c r="E6" s="570"/>
      <c r="F6" s="571" t="s">
        <v>101</v>
      </c>
      <c r="G6" s="571"/>
      <c r="H6" s="571"/>
      <c r="I6" s="566" t="s">
        <v>96</v>
      </c>
      <c r="J6" s="566"/>
      <c r="K6" s="566"/>
      <c r="L6" s="566"/>
    </row>
    <row r="7" spans="1:12" ht="26.1" customHeight="1" x14ac:dyDescent="0.3">
      <c r="A7" s="573"/>
      <c r="B7" s="12" t="s">
        <v>165</v>
      </c>
      <c r="C7" s="566" t="s">
        <v>96</v>
      </c>
      <c r="D7" s="566"/>
      <c r="E7" s="566"/>
      <c r="F7" s="571" t="s">
        <v>166</v>
      </c>
      <c r="G7" s="571"/>
      <c r="H7" s="571"/>
      <c r="I7" s="566"/>
      <c r="J7" s="566"/>
      <c r="K7" s="566"/>
      <c r="L7" s="566"/>
    </row>
    <row r="8" spans="1:12" ht="26.1" customHeight="1" x14ac:dyDescent="0.3">
      <c r="A8" s="574"/>
      <c r="B8" s="566" t="s">
        <v>102</v>
      </c>
      <c r="C8" s="566"/>
      <c r="D8" s="566" t="s">
        <v>167</v>
      </c>
      <c r="E8" s="566"/>
      <c r="F8" s="566"/>
      <c r="G8" s="566"/>
      <c r="H8" s="566"/>
      <c r="I8" s="566"/>
      <c r="J8" s="566"/>
      <c r="K8" s="566"/>
      <c r="L8" s="566"/>
    </row>
    <row r="9" spans="1:12" ht="26.1" customHeight="1" x14ac:dyDescent="0.3">
      <c r="A9" s="572" t="s">
        <v>103</v>
      </c>
      <c r="B9" s="566" t="s">
        <v>104</v>
      </c>
      <c r="C9" s="566"/>
      <c r="D9" s="566"/>
      <c r="E9" s="566"/>
      <c r="F9" s="566"/>
      <c r="G9" s="566"/>
      <c r="H9" s="566"/>
      <c r="I9" s="566"/>
      <c r="J9" s="566"/>
      <c r="K9" s="566"/>
      <c r="L9" s="566"/>
    </row>
    <row r="10" spans="1:12" ht="26.1" customHeight="1" x14ac:dyDescent="0.3">
      <c r="A10" s="573"/>
      <c r="B10" s="566" t="s">
        <v>105</v>
      </c>
      <c r="C10" s="566"/>
      <c r="D10" s="566" t="s">
        <v>96</v>
      </c>
      <c r="E10" s="566"/>
      <c r="F10" s="566"/>
      <c r="G10" s="566"/>
      <c r="H10" s="566"/>
      <c r="I10" s="566"/>
      <c r="J10" s="566"/>
      <c r="K10" s="566"/>
      <c r="L10" s="566"/>
    </row>
    <row r="11" spans="1:12" ht="26.1" customHeight="1" x14ac:dyDescent="0.3">
      <c r="A11" s="574"/>
      <c r="B11" s="566" t="s">
        <v>106</v>
      </c>
      <c r="C11" s="566"/>
      <c r="D11" s="566" t="s">
        <v>96</v>
      </c>
      <c r="E11" s="566"/>
      <c r="F11" s="566"/>
      <c r="G11" s="566"/>
      <c r="H11" s="566"/>
      <c r="I11" s="566"/>
      <c r="J11" s="566"/>
      <c r="K11" s="566"/>
      <c r="L11" s="566"/>
    </row>
    <row r="12" spans="1:12" ht="26.1" customHeight="1" x14ac:dyDescent="0.3">
      <c r="A12" s="572" t="s">
        <v>107</v>
      </c>
      <c r="B12" s="566" t="s">
        <v>108</v>
      </c>
      <c r="C12" s="566"/>
      <c r="D12" s="579" t="s">
        <v>109</v>
      </c>
      <c r="E12" s="579"/>
      <c r="F12" s="579"/>
      <c r="G12" s="579"/>
      <c r="H12" s="566" t="s">
        <v>96</v>
      </c>
      <c r="I12" s="566"/>
      <c r="J12" s="566"/>
      <c r="K12" s="566"/>
      <c r="L12" s="566"/>
    </row>
    <row r="13" spans="1:12" ht="26.1" customHeight="1" x14ac:dyDescent="0.3">
      <c r="A13" s="573"/>
      <c r="B13" s="566"/>
      <c r="C13" s="566"/>
      <c r="D13" s="580" t="s">
        <v>110</v>
      </c>
      <c r="E13" s="580"/>
      <c r="F13" s="580"/>
      <c r="G13" s="580"/>
      <c r="H13" s="566"/>
      <c r="I13" s="566"/>
      <c r="J13" s="566"/>
      <c r="K13" s="566"/>
      <c r="L13" s="566"/>
    </row>
    <row r="14" spans="1:12" ht="26.1" customHeight="1" x14ac:dyDescent="0.3">
      <c r="A14" s="573"/>
      <c r="B14" s="566"/>
      <c r="C14" s="566"/>
      <c r="D14" s="580" t="s">
        <v>111</v>
      </c>
      <c r="E14" s="580"/>
      <c r="F14" s="580"/>
      <c r="G14" s="580"/>
      <c r="H14" s="566"/>
      <c r="I14" s="566"/>
      <c r="J14" s="566"/>
      <c r="K14" s="566"/>
      <c r="L14" s="566"/>
    </row>
    <row r="15" spans="1:12" ht="26.1" customHeight="1" x14ac:dyDescent="0.3">
      <c r="A15" s="573"/>
      <c r="B15" s="566"/>
      <c r="C15" s="566"/>
      <c r="D15" s="576" t="s">
        <v>112</v>
      </c>
      <c r="E15" s="576"/>
      <c r="F15" s="576"/>
      <c r="G15" s="576"/>
      <c r="H15" s="566"/>
      <c r="I15" s="566"/>
      <c r="J15" s="566"/>
      <c r="K15" s="566"/>
      <c r="L15" s="566"/>
    </row>
    <row r="16" spans="1:12" ht="26.1" customHeight="1" x14ac:dyDescent="0.3">
      <c r="A16" s="573"/>
      <c r="B16" s="566" t="s">
        <v>113</v>
      </c>
      <c r="C16" s="566"/>
      <c r="D16" s="575" t="s">
        <v>114</v>
      </c>
      <c r="E16" s="575"/>
      <c r="F16" s="575"/>
      <c r="G16" s="575"/>
      <c r="H16" s="575"/>
      <c r="I16" s="575"/>
      <c r="J16" s="575"/>
      <c r="K16" s="575"/>
      <c r="L16" s="575"/>
    </row>
    <row r="17" spans="1:12" ht="26.1" customHeight="1" x14ac:dyDescent="0.3">
      <c r="A17" s="573"/>
      <c r="B17" s="566" t="s">
        <v>115</v>
      </c>
      <c r="C17" s="566"/>
      <c r="D17" s="575" t="s">
        <v>114</v>
      </c>
      <c r="E17" s="575"/>
      <c r="F17" s="575"/>
      <c r="G17" s="575"/>
      <c r="H17" s="575"/>
      <c r="I17" s="575"/>
      <c r="J17" s="575"/>
      <c r="K17" s="575"/>
      <c r="L17" s="575"/>
    </row>
    <row r="18" spans="1:12" ht="26.1" customHeight="1" x14ac:dyDescent="0.3">
      <c r="A18" s="573"/>
      <c r="B18" s="566" t="s">
        <v>116</v>
      </c>
      <c r="C18" s="566"/>
      <c r="D18" s="575" t="s">
        <v>114</v>
      </c>
      <c r="E18" s="575"/>
      <c r="F18" s="575"/>
      <c r="G18" s="575"/>
      <c r="H18" s="575"/>
      <c r="I18" s="575"/>
      <c r="J18" s="575"/>
      <c r="K18" s="575"/>
      <c r="L18" s="575"/>
    </row>
    <row r="19" spans="1:12" ht="26.1" customHeight="1" x14ac:dyDescent="0.3">
      <c r="A19" s="573"/>
      <c r="B19" s="566" t="s">
        <v>117</v>
      </c>
      <c r="C19" s="566"/>
      <c r="D19" s="575" t="s">
        <v>114</v>
      </c>
      <c r="E19" s="575"/>
      <c r="F19" s="575"/>
      <c r="G19" s="575"/>
      <c r="H19" s="575"/>
      <c r="I19" s="575"/>
      <c r="J19" s="575"/>
      <c r="K19" s="575"/>
      <c r="L19" s="575"/>
    </row>
    <row r="20" spans="1:12" ht="26.1" customHeight="1" x14ac:dyDescent="0.3">
      <c r="A20" s="573"/>
      <c r="B20" s="566" t="s">
        <v>118</v>
      </c>
      <c r="C20" s="566"/>
      <c r="D20" s="575" t="s">
        <v>114</v>
      </c>
      <c r="E20" s="575"/>
      <c r="F20" s="575"/>
      <c r="G20" s="575"/>
      <c r="H20" s="575"/>
      <c r="I20" s="575"/>
      <c r="J20" s="575"/>
      <c r="K20" s="575"/>
      <c r="L20" s="575"/>
    </row>
    <row r="21" spans="1:12" ht="26.1" customHeight="1" x14ac:dyDescent="0.3">
      <c r="A21" s="573"/>
      <c r="B21" s="566" t="s">
        <v>119</v>
      </c>
      <c r="C21" s="566"/>
      <c r="D21" s="575" t="s">
        <v>114</v>
      </c>
      <c r="E21" s="575"/>
      <c r="F21" s="575"/>
      <c r="G21" s="575"/>
      <c r="H21" s="575"/>
      <c r="I21" s="575"/>
      <c r="J21" s="575"/>
      <c r="K21" s="575"/>
      <c r="L21" s="575"/>
    </row>
    <row r="22" spans="1:12" ht="26.1" customHeight="1" x14ac:dyDescent="0.3">
      <c r="A22" s="573"/>
      <c r="B22" s="566" t="s">
        <v>120</v>
      </c>
      <c r="C22" s="566"/>
      <c r="D22" s="575" t="s">
        <v>114</v>
      </c>
      <c r="E22" s="575"/>
      <c r="F22" s="575"/>
      <c r="G22" s="575"/>
      <c r="H22" s="575"/>
      <c r="I22" s="575"/>
      <c r="J22" s="575"/>
      <c r="K22" s="575"/>
      <c r="L22" s="575"/>
    </row>
    <row r="23" spans="1:12" ht="26.1" customHeight="1" x14ac:dyDescent="0.3">
      <c r="A23" s="574"/>
      <c r="B23" s="566" t="s">
        <v>121</v>
      </c>
      <c r="C23" s="566"/>
      <c r="D23" s="575" t="s">
        <v>114</v>
      </c>
      <c r="E23" s="575"/>
      <c r="F23" s="575"/>
      <c r="G23" s="575"/>
      <c r="H23" s="575"/>
      <c r="I23" s="575"/>
      <c r="J23" s="575"/>
      <c r="K23" s="575"/>
      <c r="L23" s="575"/>
    </row>
    <row r="24" spans="1:12" ht="26.1" customHeight="1" x14ac:dyDescent="0.3">
      <c r="A24" s="571" t="s">
        <v>122</v>
      </c>
      <c r="B24" s="566" t="s">
        <v>123</v>
      </c>
      <c r="C24" s="566"/>
      <c r="D24" s="578" t="s">
        <v>168</v>
      </c>
      <c r="E24" s="578"/>
      <c r="F24" s="578"/>
      <c r="G24" s="578"/>
      <c r="H24" s="578"/>
      <c r="I24" s="578"/>
      <c r="J24" s="578"/>
      <c r="K24" s="578"/>
      <c r="L24" s="578"/>
    </row>
    <row r="25" spans="1:12" ht="26.1" customHeight="1" x14ac:dyDescent="0.3">
      <c r="A25" s="571"/>
      <c r="B25" s="566" t="s">
        <v>15</v>
      </c>
      <c r="C25" s="566"/>
      <c r="D25" s="578" t="s">
        <v>168</v>
      </c>
      <c r="E25" s="578"/>
      <c r="F25" s="578"/>
      <c r="G25" s="578"/>
      <c r="H25" s="578"/>
      <c r="I25" s="578"/>
      <c r="J25" s="578"/>
      <c r="K25" s="578"/>
      <c r="L25" s="578"/>
    </row>
    <row r="26" spans="1:12" ht="26.1" customHeight="1" x14ac:dyDescent="0.3">
      <c r="A26" s="571"/>
      <c r="B26" s="566" t="s">
        <v>124</v>
      </c>
      <c r="C26" s="566"/>
      <c r="D26" s="578" t="s">
        <v>168</v>
      </c>
      <c r="E26" s="578"/>
      <c r="F26" s="578"/>
      <c r="G26" s="578"/>
      <c r="H26" s="578"/>
      <c r="I26" s="578"/>
      <c r="J26" s="578"/>
      <c r="K26" s="578"/>
      <c r="L26" s="578"/>
    </row>
    <row r="27" spans="1:12" ht="26.1" customHeight="1" x14ac:dyDescent="0.3">
      <c r="A27" s="11" t="s">
        <v>125</v>
      </c>
      <c r="B27" s="577" t="s">
        <v>126</v>
      </c>
      <c r="C27" s="577"/>
      <c r="D27" s="577"/>
      <c r="E27" s="577"/>
      <c r="F27" s="577"/>
      <c r="G27" s="577"/>
      <c r="H27" s="577"/>
      <c r="I27" s="577"/>
      <c r="J27" s="577"/>
      <c r="K27" s="577"/>
      <c r="L27" s="577"/>
    </row>
  </sheetData>
  <mergeCells count="60">
    <mergeCell ref="B23:C23"/>
    <mergeCell ref="D23:L23"/>
    <mergeCell ref="B27:L27"/>
    <mergeCell ref="A24:A26"/>
    <mergeCell ref="B24:C24"/>
    <mergeCell ref="D24:L24"/>
    <mergeCell ref="B25:C25"/>
    <mergeCell ref="D25:L25"/>
    <mergeCell ref="B26:C26"/>
    <mergeCell ref="D26:L26"/>
    <mergeCell ref="A12:A23"/>
    <mergeCell ref="B12:C15"/>
    <mergeCell ref="D12:G12"/>
    <mergeCell ref="H12:L15"/>
    <mergeCell ref="D13:G13"/>
    <mergeCell ref="D14:G14"/>
    <mergeCell ref="B21:C21"/>
    <mergeCell ref="D21:L21"/>
    <mergeCell ref="B22:C22"/>
    <mergeCell ref="D22:L22"/>
    <mergeCell ref="B20:C20"/>
    <mergeCell ref="D20:L20"/>
    <mergeCell ref="B18:C18"/>
    <mergeCell ref="D18:L18"/>
    <mergeCell ref="B19:C19"/>
    <mergeCell ref="A9:A11"/>
    <mergeCell ref="B9:C9"/>
    <mergeCell ref="D9:L9"/>
    <mergeCell ref="B10:C10"/>
    <mergeCell ref="D10:L10"/>
    <mergeCell ref="B11:C11"/>
    <mergeCell ref="D11:L11"/>
    <mergeCell ref="D15:G15"/>
    <mergeCell ref="B16:C16"/>
    <mergeCell ref="D16:L16"/>
    <mergeCell ref="B17:C17"/>
    <mergeCell ref="D17:L17"/>
    <mergeCell ref="D19:L19"/>
    <mergeCell ref="A6:A8"/>
    <mergeCell ref="C6:E6"/>
    <mergeCell ref="F6:H6"/>
    <mergeCell ref="I6:L6"/>
    <mergeCell ref="C7:E7"/>
    <mergeCell ref="F7:H7"/>
    <mergeCell ref="I7:L7"/>
    <mergeCell ref="B8:C8"/>
    <mergeCell ref="D8:L8"/>
    <mergeCell ref="B4:E4"/>
    <mergeCell ref="F4:H4"/>
    <mergeCell ref="I4:L4"/>
    <mergeCell ref="B5:E5"/>
    <mergeCell ref="F5:H5"/>
    <mergeCell ref="I5:L5"/>
    <mergeCell ref="A1:G2"/>
    <mergeCell ref="H1:H3"/>
    <mergeCell ref="I1:J1"/>
    <mergeCell ref="K1:L1"/>
    <mergeCell ref="I2:J3"/>
    <mergeCell ref="K2:L3"/>
    <mergeCell ref="A3:G3"/>
  </mergeCells>
  <phoneticPr fontId="6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539A-179C-48B7-9EA1-35205ED33F08}">
  <dimension ref="A1:I36"/>
  <sheetViews>
    <sheetView view="pageBreakPreview" zoomScale="85" zoomScaleNormal="100" zoomScaleSheetLayoutView="85" workbookViewId="0">
      <selection activeCell="L25" sqref="L25"/>
    </sheetView>
  </sheetViews>
  <sheetFormatPr defaultRowHeight="16.5" x14ac:dyDescent="0.3"/>
  <cols>
    <col min="1" max="1" width="2.625" style="6" customWidth="1"/>
    <col min="2" max="2" width="2.25" style="6" customWidth="1"/>
    <col min="3" max="6" width="17.5" style="6" customWidth="1"/>
    <col min="7" max="7" width="2.25" style="6" customWidth="1"/>
    <col min="8" max="8" width="2.625" style="6" customWidth="1"/>
    <col min="9" max="16384" width="9" style="6"/>
  </cols>
  <sheetData>
    <row r="1" spans="1:9" s="16" customFormat="1" ht="24.75" customHeight="1" x14ac:dyDescent="0.3">
      <c r="A1" s="44"/>
      <c r="B1" s="45"/>
      <c r="C1" s="45"/>
      <c r="D1" s="45"/>
      <c r="E1" s="45"/>
      <c r="F1" s="45"/>
      <c r="G1" s="45"/>
      <c r="H1" s="46"/>
      <c r="I1" s="15"/>
    </row>
    <row r="2" spans="1:9" s="16" customFormat="1" ht="24.75" customHeight="1" x14ac:dyDescent="0.3">
      <c r="A2" s="47"/>
      <c r="B2" s="18"/>
      <c r="C2" s="15"/>
      <c r="D2" s="15"/>
      <c r="E2" s="17"/>
      <c r="F2" s="18"/>
      <c r="G2" s="15"/>
      <c r="H2" s="48"/>
    </row>
    <row r="3" spans="1:9" s="16" customFormat="1" ht="30" customHeight="1" x14ac:dyDescent="0.3">
      <c r="A3" s="47"/>
      <c r="B3" s="581" t="s">
        <v>127</v>
      </c>
      <c r="C3" s="581"/>
      <c r="D3" s="581"/>
      <c r="E3" s="581"/>
      <c r="F3" s="581"/>
      <c r="G3" s="581"/>
      <c r="H3" s="49"/>
    </row>
    <row r="4" spans="1:9" s="16" customFormat="1" ht="30" customHeight="1" x14ac:dyDescent="0.3">
      <c r="A4" s="47"/>
      <c r="B4" s="581"/>
      <c r="C4" s="581"/>
      <c r="D4" s="581"/>
      <c r="E4" s="581"/>
      <c r="F4" s="581"/>
      <c r="G4" s="581"/>
      <c r="H4" s="48"/>
    </row>
    <row r="5" spans="1:9" s="16" customFormat="1" ht="30" customHeight="1" x14ac:dyDescent="0.3">
      <c r="A5" s="47"/>
      <c r="B5" s="18"/>
      <c r="C5" s="15"/>
      <c r="D5" s="15"/>
      <c r="E5" s="15"/>
      <c r="F5" s="15"/>
      <c r="G5" s="15"/>
      <c r="H5" s="48"/>
    </row>
    <row r="6" spans="1:9" s="16" customFormat="1" ht="30" customHeight="1" x14ac:dyDescent="0.3">
      <c r="A6" s="19"/>
      <c r="B6" s="20"/>
      <c r="C6" s="21"/>
      <c r="D6" s="582" t="s">
        <v>128</v>
      </c>
      <c r="E6" s="582"/>
      <c r="F6" s="583" t="s">
        <v>130</v>
      </c>
      <c r="G6" s="583"/>
      <c r="H6" s="584"/>
    </row>
    <row r="7" spans="1:9" s="16" customFormat="1" ht="24.95" customHeight="1" x14ac:dyDescent="0.3">
      <c r="A7" s="22"/>
      <c r="B7" s="14"/>
      <c r="C7" s="14"/>
      <c r="D7" s="582" t="s">
        <v>129</v>
      </c>
      <c r="E7" s="582"/>
      <c r="F7" s="583" t="s">
        <v>147</v>
      </c>
      <c r="G7" s="583"/>
      <c r="H7" s="584"/>
    </row>
    <row r="8" spans="1:9" s="16" customFormat="1" ht="24.95" customHeight="1" x14ac:dyDescent="0.3">
      <c r="A8" s="22"/>
      <c r="B8" s="14"/>
      <c r="C8" s="14"/>
      <c r="D8" s="582" t="s">
        <v>149</v>
      </c>
      <c r="E8" s="582"/>
      <c r="F8" s="583" t="s">
        <v>148</v>
      </c>
      <c r="G8" s="583"/>
      <c r="H8" s="584"/>
    </row>
    <row r="9" spans="1:9" s="16" customFormat="1" ht="24.95" customHeight="1" x14ac:dyDescent="0.3">
      <c r="A9" s="22"/>
      <c r="B9" s="14"/>
      <c r="C9" s="14"/>
      <c r="D9" s="14"/>
      <c r="E9" s="14"/>
      <c r="F9" s="14"/>
      <c r="G9" s="14"/>
      <c r="H9" s="23"/>
    </row>
    <row r="10" spans="1:9" s="16" customFormat="1" ht="6.75" customHeight="1" x14ac:dyDescent="0.3">
      <c r="A10" s="22"/>
      <c r="B10" s="14"/>
      <c r="C10" s="14"/>
      <c r="D10" s="14"/>
      <c r="E10" s="14"/>
      <c r="F10" s="14"/>
      <c r="G10" s="14"/>
      <c r="H10" s="23"/>
    </row>
    <row r="11" spans="1:9" s="16" customFormat="1" ht="26.25" customHeight="1" x14ac:dyDescent="0.3">
      <c r="A11" s="22"/>
      <c r="B11" s="586" t="s">
        <v>151</v>
      </c>
      <c r="C11" s="586"/>
      <c r="D11" s="586"/>
      <c r="E11" s="586"/>
      <c r="F11" s="586"/>
      <c r="G11" s="586"/>
      <c r="H11" s="23"/>
    </row>
    <row r="12" spans="1:9" s="16" customFormat="1" ht="26.25" customHeight="1" x14ac:dyDescent="0.3">
      <c r="A12" s="24"/>
      <c r="B12" s="586" t="s">
        <v>131</v>
      </c>
      <c r="C12" s="586"/>
      <c r="D12" s="586"/>
      <c r="E12" s="586"/>
      <c r="F12" s="586"/>
      <c r="G12" s="586"/>
      <c r="H12" s="23"/>
    </row>
    <row r="13" spans="1:9" s="16" customFormat="1" ht="26.25" customHeight="1" x14ac:dyDescent="0.3">
      <c r="A13" s="24"/>
      <c r="B13" s="586" t="s">
        <v>132</v>
      </c>
      <c r="C13" s="586"/>
      <c r="D13" s="586"/>
      <c r="E13" s="586"/>
      <c r="F13" s="586"/>
      <c r="G13" s="586"/>
      <c r="H13" s="23"/>
    </row>
    <row r="14" spans="1:9" s="16" customFormat="1" ht="26.25" customHeight="1" x14ac:dyDescent="0.3">
      <c r="A14" s="24"/>
      <c r="B14" s="586" t="s">
        <v>133</v>
      </c>
      <c r="C14" s="586"/>
      <c r="D14" s="586"/>
      <c r="E14" s="586"/>
      <c r="F14" s="586"/>
      <c r="G14" s="586"/>
      <c r="H14" s="23"/>
    </row>
    <row r="15" spans="1:9" s="16" customFormat="1" ht="24.95" customHeight="1" x14ac:dyDescent="0.3">
      <c r="A15" s="25"/>
      <c r="B15" s="585"/>
      <c r="C15" s="585"/>
      <c r="D15" s="585"/>
      <c r="E15" s="585"/>
      <c r="F15" s="585"/>
      <c r="G15" s="585"/>
      <c r="H15" s="26"/>
    </row>
    <row r="16" spans="1:9" s="16" customFormat="1" ht="24.95" customHeight="1" x14ac:dyDescent="0.3">
      <c r="A16" s="24"/>
      <c r="B16" s="585"/>
      <c r="C16" s="585"/>
      <c r="D16" s="585"/>
      <c r="E16" s="585"/>
      <c r="F16" s="585"/>
      <c r="G16" s="585"/>
      <c r="H16" s="23"/>
    </row>
    <row r="17" spans="1:8" s="16" customFormat="1" ht="24.95" customHeight="1" x14ac:dyDescent="0.3">
      <c r="A17" s="24"/>
      <c r="B17" s="586" t="s">
        <v>134</v>
      </c>
      <c r="C17" s="586"/>
      <c r="D17" s="586"/>
      <c r="E17" s="586"/>
      <c r="F17" s="586"/>
      <c r="G17" s="586"/>
      <c r="H17" s="23"/>
    </row>
    <row r="18" spans="1:8" s="16" customFormat="1" ht="6.75" customHeight="1" x14ac:dyDescent="0.3">
      <c r="A18" s="24"/>
      <c r="B18" s="59"/>
      <c r="C18" s="59"/>
      <c r="D18" s="59"/>
      <c r="E18" s="59"/>
      <c r="F18" s="59"/>
      <c r="G18" s="59"/>
      <c r="H18" s="23"/>
    </row>
    <row r="19" spans="1:8" s="16" customFormat="1" ht="24.95" customHeight="1" x14ac:dyDescent="0.3">
      <c r="A19" s="24"/>
      <c r="B19" s="59"/>
      <c r="C19" s="59"/>
      <c r="D19" s="59"/>
      <c r="E19" s="59"/>
      <c r="F19" s="59"/>
      <c r="G19" s="59"/>
      <c r="H19" s="23"/>
    </row>
    <row r="20" spans="1:8" s="16" customFormat="1" ht="6.75" customHeight="1" x14ac:dyDescent="0.3">
      <c r="A20" s="24"/>
      <c r="B20" s="59"/>
      <c r="C20" s="59"/>
      <c r="D20" s="59"/>
      <c r="E20" s="59"/>
      <c r="F20" s="59"/>
      <c r="G20" s="59"/>
      <c r="H20" s="23"/>
    </row>
    <row r="21" spans="1:8" s="16" customFormat="1" ht="24.95" customHeight="1" x14ac:dyDescent="0.3">
      <c r="A21" s="22"/>
      <c r="B21" s="586" t="s">
        <v>135</v>
      </c>
      <c r="C21" s="586"/>
      <c r="D21" s="586"/>
      <c r="E21" s="586"/>
      <c r="F21" s="586"/>
      <c r="G21" s="586"/>
      <c r="H21" s="23"/>
    </row>
    <row r="22" spans="1:8" s="16" customFormat="1" ht="6.75" customHeight="1" x14ac:dyDescent="0.3">
      <c r="A22" s="22"/>
      <c r="B22" s="14"/>
      <c r="C22" s="14"/>
      <c r="D22" s="14"/>
      <c r="E22" s="14"/>
      <c r="F22" s="14"/>
      <c r="G22" s="14"/>
      <c r="H22" s="23"/>
    </row>
    <row r="23" spans="1:8" s="16" customFormat="1" ht="24.95" customHeight="1" x14ac:dyDescent="0.3">
      <c r="A23" s="22"/>
      <c r="B23" s="13"/>
      <c r="C23" s="14"/>
      <c r="D23" s="14"/>
      <c r="E23" s="13"/>
      <c r="F23" s="13"/>
      <c r="G23" s="13"/>
      <c r="H23" s="27"/>
    </row>
    <row r="24" spans="1:8" s="16" customFormat="1" ht="24.95" customHeight="1" x14ac:dyDescent="0.3">
      <c r="A24" s="22"/>
      <c r="B24" s="587" t="s">
        <v>136</v>
      </c>
      <c r="C24" s="587"/>
      <c r="D24" s="587"/>
      <c r="E24" s="587"/>
      <c r="F24" s="587"/>
      <c r="G24" s="587"/>
      <c r="H24" s="23"/>
    </row>
    <row r="25" spans="1:8" s="16" customFormat="1" ht="24.75" customHeight="1" x14ac:dyDescent="0.3">
      <c r="A25" s="28"/>
      <c r="B25" s="13"/>
      <c r="C25" s="21"/>
      <c r="D25" s="21"/>
      <c r="E25" s="21"/>
      <c r="F25" s="21"/>
      <c r="G25" s="21"/>
      <c r="H25" s="29"/>
    </row>
    <row r="26" spans="1:8" s="16" customFormat="1" ht="3.75" customHeight="1" x14ac:dyDescent="0.3">
      <c r="A26" s="53"/>
      <c r="B26" s="58"/>
      <c r="C26" s="54"/>
      <c r="D26" s="55"/>
      <c r="E26" s="56"/>
      <c r="F26" s="55"/>
      <c r="G26" s="55"/>
      <c r="H26" s="57"/>
    </row>
    <row r="27" spans="1:8" s="16" customFormat="1" ht="24.95" customHeight="1" x14ac:dyDescent="0.3">
      <c r="A27" s="28"/>
      <c r="B27" s="32" t="s">
        <v>146</v>
      </c>
      <c r="C27" s="30"/>
      <c r="D27" s="21"/>
      <c r="E27" s="31"/>
      <c r="F27" s="21"/>
      <c r="G27" s="21"/>
      <c r="H27" s="29"/>
    </row>
    <row r="28" spans="1:8" s="16" customFormat="1" ht="19.5" customHeight="1" x14ac:dyDescent="0.3">
      <c r="A28" s="28"/>
      <c r="B28" s="40" t="s">
        <v>137</v>
      </c>
      <c r="C28" s="41" t="s">
        <v>138</v>
      </c>
      <c r="D28" s="42"/>
      <c r="E28" s="41"/>
      <c r="F28" s="32"/>
      <c r="G28" s="32"/>
      <c r="H28" s="33"/>
    </row>
    <row r="29" spans="1:8" s="16" customFormat="1" ht="19.5" customHeight="1" x14ac:dyDescent="0.3">
      <c r="A29" s="28"/>
      <c r="B29" s="40" t="s">
        <v>64</v>
      </c>
      <c r="C29" s="41" t="s">
        <v>141</v>
      </c>
      <c r="D29" s="42"/>
      <c r="E29" s="41"/>
      <c r="F29" s="32"/>
      <c r="G29" s="32"/>
      <c r="H29" s="33"/>
    </row>
    <row r="30" spans="1:8" s="16" customFormat="1" ht="19.5" customHeight="1" x14ac:dyDescent="0.3">
      <c r="A30" s="28"/>
      <c r="B30" s="40" t="s">
        <v>66</v>
      </c>
      <c r="C30" s="41" t="s">
        <v>144</v>
      </c>
      <c r="D30" s="42"/>
      <c r="E30" s="41"/>
      <c r="F30" s="32"/>
      <c r="G30" s="32"/>
      <c r="H30" s="33"/>
    </row>
    <row r="31" spans="1:8" s="16" customFormat="1" ht="19.5" customHeight="1" x14ac:dyDescent="0.3">
      <c r="A31" s="28"/>
      <c r="B31" s="40"/>
      <c r="C31" s="41" t="s">
        <v>145</v>
      </c>
      <c r="D31" s="42"/>
      <c r="E31" s="41"/>
      <c r="F31" s="32"/>
      <c r="G31" s="32"/>
      <c r="H31" s="33"/>
    </row>
    <row r="32" spans="1:8" s="16" customFormat="1" ht="19.5" customHeight="1" x14ac:dyDescent="0.3">
      <c r="A32" s="28"/>
      <c r="B32" s="40" t="s">
        <v>139</v>
      </c>
      <c r="C32" s="41" t="s">
        <v>142</v>
      </c>
      <c r="D32" s="42"/>
      <c r="E32" s="41"/>
      <c r="F32" s="32"/>
      <c r="G32" s="32"/>
      <c r="H32" s="33"/>
    </row>
    <row r="33" spans="1:8" s="16" customFormat="1" ht="19.5" customHeight="1" x14ac:dyDescent="0.3">
      <c r="A33" s="28"/>
      <c r="B33" s="40" t="s">
        <v>140</v>
      </c>
      <c r="C33" s="42" t="s">
        <v>143</v>
      </c>
      <c r="D33" s="42"/>
      <c r="E33" s="43"/>
      <c r="F33" s="21"/>
      <c r="G33" s="21"/>
      <c r="H33" s="29"/>
    </row>
    <row r="34" spans="1:8" s="16" customFormat="1" ht="3.75" customHeight="1" x14ac:dyDescent="0.3">
      <c r="A34" s="35"/>
      <c r="B34" s="39"/>
      <c r="C34" s="36"/>
      <c r="D34" s="36"/>
      <c r="E34" s="50"/>
      <c r="F34" s="51"/>
      <c r="G34" s="52"/>
      <c r="H34" s="37"/>
    </row>
    <row r="35" spans="1:8" s="16" customFormat="1" ht="24.95" customHeight="1" x14ac:dyDescent="0.3">
      <c r="A35" s="21"/>
      <c r="B35" s="38"/>
      <c r="C35" s="21"/>
      <c r="D35" s="21"/>
      <c r="E35" s="21"/>
      <c r="F35" s="34"/>
      <c r="G35" s="21"/>
      <c r="H35" s="21"/>
    </row>
    <row r="36" spans="1:8" s="16" customFormat="1" ht="24.95" customHeight="1" x14ac:dyDescent="0.3">
      <c r="A36" s="21"/>
      <c r="B36" s="38"/>
      <c r="C36" s="21"/>
      <c r="D36" s="21"/>
      <c r="E36" s="21"/>
      <c r="F36" s="21"/>
      <c r="G36" s="21"/>
      <c r="H36" s="21"/>
    </row>
  </sheetData>
  <mergeCells count="16">
    <mergeCell ref="B16:G16"/>
    <mergeCell ref="B17:G17"/>
    <mergeCell ref="B21:G21"/>
    <mergeCell ref="B24:G24"/>
    <mergeCell ref="F7:H7"/>
    <mergeCell ref="F8:H8"/>
    <mergeCell ref="B12:G12"/>
    <mergeCell ref="B13:G13"/>
    <mergeCell ref="B14:G14"/>
    <mergeCell ref="B15:G15"/>
    <mergeCell ref="B11:G11"/>
    <mergeCell ref="B3:G4"/>
    <mergeCell ref="D6:E6"/>
    <mergeCell ref="D7:E7"/>
    <mergeCell ref="D8:E8"/>
    <mergeCell ref="F6:H6"/>
  </mergeCells>
  <phoneticPr fontId="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0150-557B-4989-B272-D9F951E31257}">
  <dimension ref="A1:I38"/>
  <sheetViews>
    <sheetView view="pageBreakPreview" zoomScale="85" zoomScaleNormal="100" zoomScaleSheetLayoutView="85" workbookViewId="0">
      <selection activeCell="L25" sqref="L25"/>
    </sheetView>
  </sheetViews>
  <sheetFormatPr defaultRowHeight="16.5" x14ac:dyDescent="0.3"/>
  <cols>
    <col min="1" max="1" width="2.625" style="6" customWidth="1"/>
    <col min="2" max="2" width="2.25" style="6" customWidth="1"/>
    <col min="3" max="6" width="17.5" style="6" customWidth="1"/>
    <col min="7" max="7" width="2.25" style="6" customWidth="1"/>
    <col min="8" max="8" width="2.625" style="6" customWidth="1"/>
    <col min="9" max="16384" width="9" style="6"/>
  </cols>
  <sheetData>
    <row r="1" spans="1:9" s="16" customFormat="1" ht="24.75" customHeight="1" x14ac:dyDescent="0.3">
      <c r="A1" s="44"/>
      <c r="B1" s="45"/>
      <c r="C1" s="45"/>
      <c r="D1" s="45"/>
      <c r="E1" s="45"/>
      <c r="F1" s="45"/>
      <c r="G1" s="45"/>
      <c r="H1" s="46"/>
      <c r="I1" s="15"/>
    </row>
    <row r="2" spans="1:9" s="16" customFormat="1" ht="24.75" customHeight="1" x14ac:dyDescent="0.3">
      <c r="A2" s="47"/>
      <c r="B2" s="18"/>
      <c r="C2" s="15"/>
      <c r="D2" s="15"/>
      <c r="E2" s="17"/>
      <c r="F2" s="18"/>
      <c r="G2" s="15"/>
      <c r="H2" s="48"/>
    </row>
    <row r="3" spans="1:9" s="16" customFormat="1" ht="30" customHeight="1" x14ac:dyDescent="0.3">
      <c r="A3" s="47"/>
      <c r="B3" s="581" t="s">
        <v>150</v>
      </c>
      <c r="C3" s="581"/>
      <c r="D3" s="581"/>
      <c r="E3" s="581"/>
      <c r="F3" s="581"/>
      <c r="G3" s="581"/>
      <c r="H3" s="49"/>
    </row>
    <row r="4" spans="1:9" s="16" customFormat="1" ht="30" customHeight="1" x14ac:dyDescent="0.3">
      <c r="A4" s="47"/>
      <c r="B4" s="581"/>
      <c r="C4" s="581"/>
      <c r="D4" s="581"/>
      <c r="E4" s="581"/>
      <c r="F4" s="581"/>
      <c r="G4" s="581"/>
      <c r="H4" s="48"/>
    </row>
    <row r="5" spans="1:9" s="16" customFormat="1" ht="30" customHeight="1" x14ac:dyDescent="0.3">
      <c r="A5" s="47"/>
      <c r="B5" s="18"/>
      <c r="C5" s="15"/>
      <c r="D5" s="15"/>
      <c r="E5" s="15"/>
      <c r="F5" s="15"/>
      <c r="G5" s="15"/>
      <c r="H5" s="48"/>
    </row>
    <row r="6" spans="1:9" s="16" customFormat="1" ht="30" customHeight="1" x14ac:dyDescent="0.3">
      <c r="A6" s="19"/>
      <c r="B6" s="20"/>
      <c r="C6" s="21"/>
      <c r="D6" s="582" t="s">
        <v>128</v>
      </c>
      <c r="E6" s="582"/>
      <c r="F6" s="583" t="s">
        <v>130</v>
      </c>
      <c r="G6" s="583"/>
      <c r="H6" s="584"/>
    </row>
    <row r="7" spans="1:9" s="16" customFormat="1" ht="24.95" customHeight="1" x14ac:dyDescent="0.3">
      <c r="A7" s="22"/>
      <c r="B7" s="14"/>
      <c r="C7" s="14"/>
      <c r="D7" s="582" t="s">
        <v>129</v>
      </c>
      <c r="E7" s="582"/>
      <c r="F7" s="583" t="s">
        <v>147</v>
      </c>
      <c r="G7" s="583"/>
      <c r="H7" s="584"/>
    </row>
    <row r="8" spans="1:9" s="16" customFormat="1" ht="24.95" customHeight="1" x14ac:dyDescent="0.3">
      <c r="A8" s="22"/>
      <c r="B8" s="14"/>
      <c r="C8" s="14"/>
      <c r="D8" s="582" t="s">
        <v>149</v>
      </c>
      <c r="E8" s="582"/>
      <c r="F8" s="583" t="s">
        <v>148</v>
      </c>
      <c r="G8" s="583"/>
      <c r="H8" s="584"/>
    </row>
    <row r="9" spans="1:9" s="16" customFormat="1" ht="24.95" customHeight="1" x14ac:dyDescent="0.3">
      <c r="A9" s="22"/>
      <c r="B9" s="14"/>
      <c r="C9" s="14"/>
      <c r="D9" s="14"/>
      <c r="E9" s="14"/>
      <c r="F9" s="14"/>
      <c r="G9" s="14"/>
      <c r="H9" s="23"/>
    </row>
    <row r="10" spans="1:9" s="16" customFormat="1" ht="6.75" customHeight="1" x14ac:dyDescent="0.3">
      <c r="A10" s="22"/>
      <c r="B10" s="14"/>
      <c r="C10" s="14"/>
      <c r="D10" s="14"/>
      <c r="E10" s="14"/>
      <c r="F10" s="14"/>
      <c r="G10" s="14"/>
      <c r="H10" s="23"/>
    </row>
    <row r="11" spans="1:9" s="16" customFormat="1" ht="26.25" customHeight="1" x14ac:dyDescent="0.3">
      <c r="A11" s="22"/>
      <c r="B11" s="586" t="s">
        <v>151</v>
      </c>
      <c r="C11" s="586"/>
      <c r="D11" s="586"/>
      <c r="E11" s="586"/>
      <c r="F11" s="586"/>
      <c r="G11" s="586"/>
      <c r="H11" s="23"/>
    </row>
    <row r="12" spans="1:9" s="16" customFormat="1" ht="26.25" customHeight="1" x14ac:dyDescent="0.3">
      <c r="A12" s="24"/>
      <c r="B12" s="586" t="s">
        <v>152</v>
      </c>
      <c r="C12" s="586"/>
      <c r="D12" s="586"/>
      <c r="E12" s="586"/>
      <c r="F12" s="586"/>
      <c r="G12" s="586"/>
      <c r="H12" s="23"/>
    </row>
    <row r="13" spans="1:9" s="16" customFormat="1" ht="26.25" customHeight="1" x14ac:dyDescent="0.3">
      <c r="A13" s="24"/>
      <c r="B13" s="586" t="s">
        <v>153</v>
      </c>
      <c r="C13" s="586"/>
      <c r="D13" s="586"/>
      <c r="E13" s="586"/>
      <c r="F13" s="586"/>
      <c r="G13" s="586"/>
      <c r="H13" s="23"/>
    </row>
    <row r="14" spans="1:9" s="16" customFormat="1" ht="26.25" customHeight="1" x14ac:dyDescent="0.3">
      <c r="A14" s="24"/>
      <c r="B14" s="586" t="s">
        <v>154</v>
      </c>
      <c r="C14" s="586"/>
      <c r="D14" s="586"/>
      <c r="E14" s="586"/>
      <c r="F14" s="586"/>
      <c r="G14" s="586"/>
      <c r="H14" s="23"/>
    </row>
    <row r="15" spans="1:9" s="16" customFormat="1" ht="19.5" customHeight="1" x14ac:dyDescent="0.3">
      <c r="A15" s="25"/>
      <c r="B15" s="585"/>
      <c r="C15" s="585"/>
      <c r="D15" s="585"/>
      <c r="E15" s="585"/>
      <c r="F15" s="585"/>
      <c r="G15" s="585"/>
      <c r="H15" s="26"/>
    </row>
    <row r="16" spans="1:9" s="16" customFormat="1" ht="19.5" customHeight="1" x14ac:dyDescent="0.3">
      <c r="A16" s="24"/>
      <c r="B16" s="585"/>
      <c r="C16" s="585"/>
      <c r="D16" s="585"/>
      <c r="E16" s="585"/>
      <c r="F16" s="585"/>
      <c r="G16" s="585"/>
      <c r="H16" s="23"/>
    </row>
    <row r="17" spans="1:8" s="16" customFormat="1" ht="24.95" customHeight="1" x14ac:dyDescent="0.3">
      <c r="A17" s="24"/>
      <c r="B17" s="586" t="s">
        <v>134</v>
      </c>
      <c r="C17" s="586"/>
      <c r="D17" s="586"/>
      <c r="E17" s="586"/>
      <c r="F17" s="586"/>
      <c r="G17" s="586"/>
      <c r="H17" s="23"/>
    </row>
    <row r="18" spans="1:8" s="16" customFormat="1" ht="6.75" customHeight="1" x14ac:dyDescent="0.3">
      <c r="A18" s="24"/>
      <c r="B18" s="59"/>
      <c r="C18" s="59"/>
      <c r="D18" s="59"/>
      <c r="E18" s="59"/>
      <c r="F18" s="59"/>
      <c r="G18" s="59"/>
      <c r="H18" s="23"/>
    </row>
    <row r="19" spans="1:8" s="16" customFormat="1" ht="19.5" customHeight="1" x14ac:dyDescent="0.3">
      <c r="A19" s="24"/>
      <c r="B19" s="59"/>
      <c r="C19" s="59"/>
      <c r="D19" s="59"/>
      <c r="E19" s="59"/>
      <c r="F19" s="59"/>
      <c r="G19" s="59"/>
      <c r="H19" s="23"/>
    </row>
    <row r="20" spans="1:8" s="16" customFormat="1" ht="6.75" customHeight="1" x14ac:dyDescent="0.3">
      <c r="A20" s="24"/>
      <c r="B20" s="59"/>
      <c r="C20" s="59"/>
      <c r="D20" s="59"/>
      <c r="E20" s="59"/>
      <c r="F20" s="59"/>
      <c r="G20" s="59"/>
      <c r="H20" s="23"/>
    </row>
    <row r="21" spans="1:8" s="16" customFormat="1" ht="24.95" customHeight="1" x14ac:dyDescent="0.3">
      <c r="A21" s="22"/>
      <c r="B21" s="586" t="s">
        <v>155</v>
      </c>
      <c r="C21" s="586"/>
      <c r="D21" s="586"/>
      <c r="E21" s="586"/>
      <c r="F21" s="586"/>
      <c r="G21" s="586"/>
      <c r="H21" s="23"/>
    </row>
    <row r="22" spans="1:8" s="16" customFormat="1" ht="6.75" customHeight="1" x14ac:dyDescent="0.3">
      <c r="A22" s="22"/>
      <c r="B22" s="14"/>
      <c r="C22" s="14"/>
      <c r="D22" s="14"/>
      <c r="E22" s="14"/>
      <c r="F22" s="14"/>
      <c r="G22" s="14"/>
      <c r="H22" s="23"/>
    </row>
    <row r="23" spans="1:8" s="16" customFormat="1" ht="19.5" customHeight="1" x14ac:dyDescent="0.3">
      <c r="A23" s="22"/>
      <c r="B23" s="13"/>
      <c r="C23" s="14"/>
      <c r="D23" s="14"/>
      <c r="E23" s="13"/>
      <c r="F23" s="13"/>
      <c r="G23" s="13"/>
      <c r="H23" s="27"/>
    </row>
    <row r="24" spans="1:8" s="16" customFormat="1" ht="24.95" customHeight="1" x14ac:dyDescent="0.3">
      <c r="A24" s="22"/>
      <c r="B24" s="587" t="s">
        <v>136</v>
      </c>
      <c r="C24" s="587"/>
      <c r="D24" s="587"/>
      <c r="E24" s="587"/>
      <c r="F24" s="587"/>
      <c r="G24" s="587"/>
      <c r="H24" s="23"/>
    </row>
    <row r="25" spans="1:8" s="16" customFormat="1" ht="24.75" customHeight="1" x14ac:dyDescent="0.3">
      <c r="A25" s="28"/>
      <c r="B25" s="13"/>
      <c r="C25" s="21"/>
      <c r="D25" s="21"/>
      <c r="E25" s="21"/>
      <c r="F25" s="21"/>
      <c r="G25" s="21"/>
      <c r="H25" s="29"/>
    </row>
    <row r="26" spans="1:8" s="16" customFormat="1" ht="3.75" customHeight="1" x14ac:dyDescent="0.3">
      <c r="A26" s="53"/>
      <c r="B26" s="58"/>
      <c r="C26" s="54"/>
      <c r="D26" s="55"/>
      <c r="E26" s="56"/>
      <c r="F26" s="55"/>
      <c r="G26" s="55"/>
      <c r="H26" s="57"/>
    </row>
    <row r="27" spans="1:8" s="16" customFormat="1" ht="24.95" customHeight="1" x14ac:dyDescent="0.3">
      <c r="A27" s="28"/>
      <c r="B27" s="32" t="s">
        <v>146</v>
      </c>
      <c r="C27" s="30"/>
      <c r="D27" s="21"/>
      <c r="E27" s="31"/>
      <c r="F27" s="21"/>
      <c r="G27" s="21"/>
      <c r="H27" s="29"/>
    </row>
    <row r="28" spans="1:8" s="16" customFormat="1" ht="17.25" customHeight="1" x14ac:dyDescent="0.3">
      <c r="A28" s="28"/>
      <c r="B28" s="40" t="s">
        <v>137</v>
      </c>
      <c r="C28" s="41" t="s">
        <v>156</v>
      </c>
      <c r="D28" s="42"/>
      <c r="E28" s="41"/>
      <c r="F28" s="32"/>
      <c r="G28" s="32"/>
      <c r="H28" s="33"/>
    </row>
    <row r="29" spans="1:8" s="16" customFormat="1" ht="17.25" customHeight="1" x14ac:dyDescent="0.3">
      <c r="A29" s="28"/>
      <c r="B29" s="40" t="s">
        <v>64</v>
      </c>
      <c r="C29" s="41" t="s">
        <v>157</v>
      </c>
      <c r="D29" s="42"/>
      <c r="E29" s="41"/>
      <c r="F29" s="32"/>
      <c r="G29" s="32"/>
      <c r="H29" s="33"/>
    </row>
    <row r="30" spans="1:8" s="16" customFormat="1" ht="17.25" customHeight="1" x14ac:dyDescent="0.3">
      <c r="A30" s="28"/>
      <c r="B30" s="40" t="s">
        <v>66</v>
      </c>
      <c r="C30" s="41" t="s">
        <v>158</v>
      </c>
      <c r="D30" s="42"/>
      <c r="E30" s="41"/>
      <c r="F30" s="32"/>
      <c r="G30" s="32"/>
      <c r="H30" s="33"/>
    </row>
    <row r="31" spans="1:8" s="16" customFormat="1" ht="17.25" customHeight="1" x14ac:dyDescent="0.3">
      <c r="A31" s="28"/>
      <c r="B31" s="40" t="s">
        <v>69</v>
      </c>
      <c r="C31" s="41" t="s">
        <v>159</v>
      </c>
      <c r="D31" s="42"/>
      <c r="E31" s="41"/>
      <c r="F31" s="32"/>
      <c r="G31" s="32"/>
      <c r="H31" s="33"/>
    </row>
    <row r="32" spans="1:8" s="16" customFormat="1" ht="17.25" customHeight="1" x14ac:dyDescent="0.3">
      <c r="A32" s="28"/>
      <c r="B32" s="40" t="s">
        <v>71</v>
      </c>
      <c r="C32" s="41" t="s">
        <v>160</v>
      </c>
      <c r="D32" s="42"/>
      <c r="E32" s="41"/>
      <c r="F32" s="32"/>
      <c r="G32" s="32"/>
      <c r="H32" s="33"/>
    </row>
    <row r="33" spans="1:8" s="16" customFormat="1" ht="17.25" customHeight="1" x14ac:dyDescent="0.3">
      <c r="A33" s="28"/>
      <c r="B33" s="40" t="s">
        <v>73</v>
      </c>
      <c r="C33" s="41" t="s">
        <v>161</v>
      </c>
      <c r="D33" s="42"/>
      <c r="E33" s="41"/>
      <c r="F33" s="32"/>
      <c r="G33" s="32"/>
      <c r="H33" s="33"/>
    </row>
    <row r="34" spans="1:8" s="16" customFormat="1" ht="17.25" customHeight="1" x14ac:dyDescent="0.3">
      <c r="A34" s="28"/>
      <c r="B34" s="40" t="s">
        <v>75</v>
      </c>
      <c r="C34" s="41" t="s">
        <v>162</v>
      </c>
      <c r="D34" s="42"/>
      <c r="E34" s="41"/>
      <c r="F34" s="32"/>
      <c r="G34" s="32"/>
      <c r="H34" s="33"/>
    </row>
    <row r="35" spans="1:8" s="16" customFormat="1" ht="17.25" customHeight="1" x14ac:dyDescent="0.3">
      <c r="A35" s="28"/>
      <c r="B35" s="40" t="s">
        <v>77</v>
      </c>
      <c r="C35" s="42" t="s">
        <v>163</v>
      </c>
      <c r="D35" s="42"/>
      <c r="E35" s="43"/>
      <c r="F35" s="21"/>
      <c r="G35" s="21"/>
      <c r="H35" s="29"/>
    </row>
    <row r="36" spans="1:8" s="16" customFormat="1" ht="3.75" customHeight="1" x14ac:dyDescent="0.3">
      <c r="A36" s="35"/>
      <c r="B36" s="39"/>
      <c r="C36" s="36"/>
      <c r="D36" s="36"/>
      <c r="E36" s="50"/>
      <c r="F36" s="51"/>
      <c r="G36" s="52"/>
      <c r="H36" s="37"/>
    </row>
    <row r="37" spans="1:8" s="16" customFormat="1" ht="24.95" customHeight="1" x14ac:dyDescent="0.3">
      <c r="A37" s="21"/>
      <c r="B37" s="38"/>
      <c r="C37" s="21"/>
      <c r="D37" s="21"/>
      <c r="E37" s="21"/>
      <c r="F37" s="34"/>
      <c r="G37" s="21"/>
      <c r="H37" s="21"/>
    </row>
    <row r="38" spans="1:8" s="16" customFormat="1" ht="24.95" customHeight="1" x14ac:dyDescent="0.3">
      <c r="A38" s="21"/>
      <c r="B38" s="38"/>
      <c r="C38" s="21"/>
      <c r="D38" s="21"/>
      <c r="E38" s="21"/>
      <c r="F38" s="21"/>
      <c r="G38" s="21"/>
      <c r="H38" s="21"/>
    </row>
  </sheetData>
  <mergeCells count="16">
    <mergeCell ref="B17:G17"/>
    <mergeCell ref="B21:G21"/>
    <mergeCell ref="B24:G24"/>
    <mergeCell ref="B11:G11"/>
    <mergeCell ref="B12:G12"/>
    <mergeCell ref="B13:G13"/>
    <mergeCell ref="B14:G14"/>
    <mergeCell ref="B15:G15"/>
    <mergeCell ref="B16:G16"/>
    <mergeCell ref="D8:E8"/>
    <mergeCell ref="F8:H8"/>
    <mergeCell ref="B3:G4"/>
    <mergeCell ref="D6:E6"/>
    <mergeCell ref="F6:H6"/>
    <mergeCell ref="D7:E7"/>
    <mergeCell ref="F7:H7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8</vt:i4>
      </vt:variant>
    </vt:vector>
  </HeadingPairs>
  <TitlesOfParts>
    <vt:vector size="17" baseType="lpstr">
      <vt:lpstr>중량물 작업계획서</vt:lpstr>
      <vt:lpstr>양중작업계획서</vt:lpstr>
      <vt:lpstr>지내력검토</vt:lpstr>
      <vt:lpstr>중량물 종류별 세부 내용(해당 중장비)</vt:lpstr>
      <vt:lpstr>작업상황도</vt:lpstr>
      <vt:lpstr>교육점검확인</vt:lpstr>
      <vt:lpstr>사용전 안전점검표(범용)</vt:lpstr>
      <vt:lpstr>작업지휘자</vt:lpstr>
      <vt:lpstr>신호수</vt:lpstr>
      <vt:lpstr>교육점검확인!Print_Area</vt:lpstr>
      <vt:lpstr>신호수!Print_Area</vt:lpstr>
      <vt:lpstr>양중작업계획서!Print_Area</vt:lpstr>
      <vt:lpstr>작업상황도!Print_Area</vt:lpstr>
      <vt:lpstr>작업지휘자!Print_Area</vt:lpstr>
      <vt:lpstr>'중량물 작업계획서'!Print_Area</vt:lpstr>
      <vt:lpstr>'중량물 종류별 세부 내용(해당 중장비)'!Print_Area</vt:lpstr>
      <vt:lpstr>지내력검토!Print_Area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정상익</cp:lastModifiedBy>
  <cp:lastPrinted>2022-04-19T06:14:38Z</cp:lastPrinted>
  <dcterms:created xsi:type="dcterms:W3CDTF">2016-03-14T05:38:03Z</dcterms:created>
  <dcterms:modified xsi:type="dcterms:W3CDTF">2024-06-16T04:54:42Z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D:\PERSONAL_SPACE\◎ 안전기획파트 업무\◎ 위험작업안전관리\★ 중장비 안전관리\0) 고용노동부 고시, 사내기준\[첨부3] 작업계획서(중량물계획서)(R4).xlsx</vt:lpwstr>
  </property>
</Properties>
</file>