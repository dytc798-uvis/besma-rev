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8F3695D2-478B-4BE2-A4ED-5F584F47EF28}" xr6:coauthVersionLast="45" xr6:coauthVersionMax="46" xr10:uidLastSave="{00000000-0000-0000-0000-000000000000}"/>
  <bookViews>
    <workbookView xWindow="-120" yWindow="-120" windowWidth="29040" windowHeight="15840" xr2:uid="{CF1A4337-F251-46CF-8A05-6167F71CA023}"/>
  </bookViews>
  <sheets>
    <sheet name="근로자명부" sheetId="1" r:id="rId1"/>
  </sheets>
  <definedNames>
    <definedName name="_xlnm.Print_Area" localSheetId="0">근로자명부!$A$2:$R$59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9" i="1"/>
  <c r="P14" i="1"/>
  <c r="P16" i="1"/>
  <c r="P17" i="1"/>
  <c r="P18" i="1"/>
  <c r="P19" i="1"/>
  <c r="P22" i="1"/>
  <c r="P23" i="1"/>
  <c r="P29" i="1"/>
  <c r="P34" i="1"/>
  <c r="P37" i="1"/>
  <c r="P38" i="1"/>
  <c r="P46" i="1"/>
  <c r="P47" i="1"/>
  <c r="P51" i="1"/>
  <c r="P58" i="1"/>
  <c r="P59" i="1"/>
  <c r="P60" i="1"/>
  <c r="P61" i="1"/>
  <c r="Q2" i="1" l="1"/>
  <c r="P10" i="1" l="1"/>
  <c r="P57" i="1"/>
  <c r="P5" i="1"/>
  <c r="P31" i="1"/>
  <c r="P6" i="1"/>
  <c r="P30" i="1"/>
  <c r="P42" i="1"/>
  <c r="P8" i="1"/>
  <c r="P20" i="1"/>
  <c r="P32" i="1"/>
  <c r="P44" i="1"/>
  <c r="P56" i="1"/>
  <c r="P21" i="1"/>
  <c r="P33" i="1"/>
  <c r="P45" i="1"/>
  <c r="P11" i="1"/>
  <c r="P35" i="1"/>
  <c r="P12" i="1"/>
  <c r="P24" i="1"/>
  <c r="P36" i="1"/>
  <c r="P48" i="1"/>
  <c r="P49" i="1"/>
  <c r="P26" i="1"/>
  <c r="P50" i="1"/>
  <c r="P54" i="1"/>
  <c r="P13" i="1"/>
  <c r="P25" i="1"/>
  <c r="P43" i="1"/>
  <c r="P53" i="1"/>
  <c r="P15" i="1"/>
  <c r="P27" i="1"/>
  <c r="P39" i="1"/>
  <c r="P28" i="1"/>
  <c r="P40" i="1"/>
  <c r="P52" i="1"/>
  <c r="P41" i="1"/>
  <c r="P55" i="1"/>
</calcChain>
</file>

<file path=xl/sharedStrings.xml><?xml version="1.0" encoding="utf-8"?>
<sst xmlns="http://schemas.openxmlformats.org/spreadsheetml/2006/main" count="525" uniqueCount="265">
  <si>
    <t>연번</t>
    <phoneticPr fontId="2" type="noConversion"/>
  </si>
  <si>
    <t>성명</t>
    <phoneticPr fontId="2" type="noConversion"/>
  </si>
  <si>
    <t>생년월일</t>
    <phoneticPr fontId="2" type="noConversion"/>
  </si>
  <si>
    <t>주소</t>
    <phoneticPr fontId="2" type="noConversion"/>
  </si>
  <si>
    <t>휴대전화</t>
    <phoneticPr fontId="2" type="noConversion"/>
  </si>
  <si>
    <t>종사업무</t>
    <phoneticPr fontId="2" type="noConversion"/>
  </si>
  <si>
    <t>해고일</t>
    <phoneticPr fontId="2" type="noConversion"/>
  </si>
  <si>
    <t>퇴직일</t>
    <phoneticPr fontId="2" type="noConversion"/>
  </si>
  <si>
    <t>사유</t>
    <phoneticPr fontId="2" type="noConversion"/>
  </si>
  <si>
    <t>금품청산</t>
    <phoneticPr fontId="2" type="noConversion"/>
  </si>
  <si>
    <t>고용일</t>
    <phoneticPr fontId="2" type="noConversion"/>
  </si>
  <si>
    <t>근로조건</t>
    <phoneticPr fontId="2" type="noConversion"/>
  </si>
  <si>
    <t>특이사항</t>
    <phoneticPr fontId="2" type="noConversion"/>
  </si>
  <si>
    <t>기간제여부</t>
    <phoneticPr fontId="2" type="noConversion"/>
  </si>
  <si>
    <t>형태</t>
    <phoneticPr fontId="2" type="noConversion"/>
  </si>
  <si>
    <t>임금</t>
    <phoneticPr fontId="2" type="noConversion"/>
  </si>
  <si>
    <t>월급제</t>
    <phoneticPr fontId="2" type="noConversion"/>
  </si>
  <si>
    <t>기타사항</t>
    <phoneticPr fontId="2" type="noConversion"/>
  </si>
  <si>
    <t>근로자정보</t>
    <phoneticPr fontId="2" type="noConversion"/>
  </si>
  <si>
    <t>구분</t>
    <phoneticPr fontId="2" type="noConversion"/>
  </si>
  <si>
    <t>성별</t>
    <phoneticPr fontId="2" type="noConversion"/>
  </si>
  <si>
    <t>남</t>
    <phoneticPr fontId="2" type="noConversion"/>
  </si>
  <si>
    <t>사무직</t>
    <phoneticPr fontId="2" type="noConversion"/>
  </si>
  <si>
    <t>부서</t>
    <phoneticPr fontId="2" type="noConversion"/>
  </si>
  <si>
    <t>여</t>
    <phoneticPr fontId="2" type="noConversion"/>
  </si>
  <si>
    <t>상용직</t>
    <phoneticPr fontId="2" type="noConversion"/>
  </si>
  <si>
    <t>2023-05-10</t>
  </si>
  <si>
    <t>2024-01-05</t>
  </si>
  <si>
    <t>2023-09-30</t>
  </si>
  <si>
    <t>2022-05-13</t>
  </si>
  <si>
    <t>2023-11-23</t>
  </si>
  <si>
    <t>2022-02-04</t>
  </si>
  <si>
    <t>2022-05-04</t>
  </si>
  <si>
    <t>2021-12-28</t>
  </si>
  <si>
    <t>2023-09-22</t>
  </si>
  <si>
    <t>2023-04-30</t>
  </si>
  <si>
    <t>2023-02-28</t>
  </si>
  <si>
    <t>2023-04-14</t>
  </si>
  <si>
    <t>2022-08-31</t>
  </si>
  <si>
    <t>2021-12-17</t>
  </si>
  <si>
    <t>공사2팀</t>
  </si>
  <si>
    <t>품질안전보건실</t>
  </si>
  <si>
    <t>공사4팀</t>
  </si>
  <si>
    <t>재무회계팀</t>
  </si>
  <si>
    <t>공사5팀</t>
  </si>
  <si>
    <t>외주구매팀</t>
  </si>
  <si>
    <t>업무팀</t>
  </si>
  <si>
    <t>공사1팀</t>
  </si>
  <si>
    <t>경영관리팀</t>
  </si>
  <si>
    <t>공사3팀</t>
  </si>
  <si>
    <t>법무팀</t>
  </si>
  <si>
    <t>부현전기 근로자 명부 (본사)</t>
    <phoneticPr fontId="2" type="noConversion"/>
  </si>
  <si>
    <t>01026475888</t>
    <phoneticPr fontId="2" type="noConversion"/>
  </si>
  <si>
    <t>01076110235</t>
    <phoneticPr fontId="2" type="noConversion"/>
  </si>
  <si>
    <t>01048414731</t>
    <phoneticPr fontId="2" type="noConversion"/>
  </si>
  <si>
    <t>01022874391</t>
    <phoneticPr fontId="2" type="noConversion"/>
  </si>
  <si>
    <t>01090308314</t>
    <phoneticPr fontId="2" type="noConversion"/>
  </si>
  <si>
    <t>01024952342</t>
    <phoneticPr fontId="2" type="noConversion"/>
  </si>
  <si>
    <t>01091526358</t>
    <phoneticPr fontId="2" type="noConversion"/>
  </si>
  <si>
    <t>01033322495</t>
    <phoneticPr fontId="2" type="noConversion"/>
  </si>
  <si>
    <t>01090246493</t>
    <phoneticPr fontId="2" type="noConversion"/>
  </si>
  <si>
    <t>01052801827</t>
    <phoneticPr fontId="2" type="noConversion"/>
  </si>
  <si>
    <t>01043226590</t>
    <phoneticPr fontId="2" type="noConversion"/>
  </si>
  <si>
    <t>01056655243</t>
    <phoneticPr fontId="2" type="noConversion"/>
  </si>
  <si>
    <t>01074700846</t>
    <phoneticPr fontId="2" type="noConversion"/>
  </si>
  <si>
    <t>01099032937</t>
    <phoneticPr fontId="2" type="noConversion"/>
  </si>
  <si>
    <t>01090703491</t>
    <phoneticPr fontId="2" type="noConversion"/>
  </si>
  <si>
    <t>01093047330</t>
    <phoneticPr fontId="2" type="noConversion"/>
  </si>
  <si>
    <t>01033632283</t>
    <phoneticPr fontId="2" type="noConversion"/>
  </si>
  <si>
    <t>01080247742</t>
    <phoneticPr fontId="2" type="noConversion"/>
  </si>
  <si>
    <t>01033079011</t>
    <phoneticPr fontId="2" type="noConversion"/>
  </si>
  <si>
    <t>01031579430</t>
    <phoneticPr fontId="2" type="noConversion"/>
  </si>
  <si>
    <t>01085932670</t>
    <phoneticPr fontId="2" type="noConversion"/>
  </si>
  <si>
    <t>01023280432</t>
    <phoneticPr fontId="2" type="noConversion"/>
  </si>
  <si>
    <t>01071804805</t>
    <phoneticPr fontId="2" type="noConversion"/>
  </si>
  <si>
    <t>01091387004</t>
    <phoneticPr fontId="2" type="noConversion"/>
  </si>
  <si>
    <t>01064869488</t>
    <phoneticPr fontId="2" type="noConversion"/>
  </si>
  <si>
    <t>01087695301</t>
    <phoneticPr fontId="2" type="noConversion"/>
  </si>
  <si>
    <t>01098899864</t>
    <phoneticPr fontId="2" type="noConversion"/>
  </si>
  <si>
    <t>01028007731</t>
    <phoneticPr fontId="2" type="noConversion"/>
  </si>
  <si>
    <t>01040526158</t>
    <phoneticPr fontId="2" type="noConversion"/>
  </si>
  <si>
    <t>01052245163</t>
    <phoneticPr fontId="2" type="noConversion"/>
  </si>
  <si>
    <t>01087263590</t>
    <phoneticPr fontId="2" type="noConversion"/>
  </si>
  <si>
    <t>01036952588</t>
    <phoneticPr fontId="2" type="noConversion"/>
  </si>
  <si>
    <t>01085305306</t>
    <phoneticPr fontId="2" type="noConversion"/>
  </si>
  <si>
    <t>01062868879</t>
    <phoneticPr fontId="2" type="noConversion"/>
  </si>
  <si>
    <t>01047371209</t>
    <phoneticPr fontId="2" type="noConversion"/>
  </si>
  <si>
    <t>01062165201</t>
    <phoneticPr fontId="2" type="noConversion"/>
  </si>
  <si>
    <t>01097123194</t>
    <phoneticPr fontId="2" type="noConversion"/>
  </si>
  <si>
    <t>01021772179</t>
    <phoneticPr fontId="2" type="noConversion"/>
  </si>
  <si>
    <t>01031171418</t>
    <phoneticPr fontId="2" type="noConversion"/>
  </si>
  <si>
    <t>01090910253</t>
    <phoneticPr fontId="2" type="noConversion"/>
  </si>
  <si>
    <t>01074530313</t>
    <phoneticPr fontId="2" type="noConversion"/>
  </si>
  <si>
    <t>01082870818</t>
    <phoneticPr fontId="2" type="noConversion"/>
  </si>
  <si>
    <t>01074047492</t>
    <phoneticPr fontId="2" type="noConversion"/>
  </si>
  <si>
    <t>01040496510</t>
    <phoneticPr fontId="2" type="noConversion"/>
  </si>
  <si>
    <t>01040809244</t>
    <phoneticPr fontId="2" type="noConversion"/>
  </si>
  <si>
    <t>조수용</t>
    <phoneticPr fontId="2" type="noConversion"/>
  </si>
  <si>
    <t>01029899753</t>
    <phoneticPr fontId="2" type="noConversion"/>
  </si>
  <si>
    <t>경기도 시흥시 장현천로 61, 301동 1601호</t>
    <phoneticPr fontId="2" type="noConversion"/>
  </si>
  <si>
    <t>외주구매팀</t>
    <phoneticPr fontId="2" type="noConversion"/>
  </si>
  <si>
    <t>공사2팀</t>
    <phoneticPr fontId="2" type="noConversion"/>
  </si>
  <si>
    <t>공사3팀</t>
    <phoneticPr fontId="2" type="noConversion"/>
  </si>
  <si>
    <t>경력(일)</t>
    <phoneticPr fontId="2" type="noConversion"/>
  </si>
  <si>
    <t>김덕</t>
    <phoneticPr fontId="2" type="noConversion"/>
  </si>
  <si>
    <t>신용한</t>
    <phoneticPr fontId="2" type="noConversion"/>
  </si>
  <si>
    <t>공사5팀</t>
    <phoneticPr fontId="2" type="noConversion"/>
  </si>
  <si>
    <t>인천광역시 부평구 부흥로360번길 36, 802호(빌리지엠)</t>
    <phoneticPr fontId="2" type="noConversion"/>
  </si>
  <si>
    <t>010-6472-6225</t>
    <phoneticPr fontId="2" type="noConversion"/>
  </si>
  <si>
    <t>이요환</t>
    <phoneticPr fontId="2" type="noConversion"/>
  </si>
  <si>
    <t>이일구</t>
    <phoneticPr fontId="2" type="noConversion"/>
  </si>
  <si>
    <t>진행원</t>
    <phoneticPr fontId="2" type="noConversion"/>
  </si>
  <si>
    <t>최재필</t>
    <phoneticPr fontId="2" type="noConversion"/>
  </si>
  <si>
    <t>010-8251-5639</t>
    <phoneticPr fontId="2" type="noConversion"/>
  </si>
  <si>
    <t>서울특별시 도봉구 해등로 242-11, 107동 202호 (성원)</t>
    <phoneticPr fontId="2" type="noConversion"/>
  </si>
  <si>
    <t>010-2172-2512</t>
    <phoneticPr fontId="2" type="noConversion"/>
  </si>
  <si>
    <t>서울특별시 성북구 한천로 713, 503동 303호 (장위래미안퍼스트아이)</t>
    <phoneticPr fontId="2" type="noConversion"/>
  </si>
  <si>
    <t>010-5304-2190</t>
    <phoneticPr fontId="2" type="noConversion"/>
  </si>
  <si>
    <t>공사4팀</t>
    <phoneticPr fontId="2" type="noConversion"/>
  </si>
  <si>
    <t>010-8180-5480</t>
    <phoneticPr fontId="2" type="noConversion"/>
  </si>
  <si>
    <t>경영관리팀</t>
    <phoneticPr fontId="2" type="noConversion"/>
  </si>
  <si>
    <t>010-3924-0159</t>
    <phoneticPr fontId="2" type="noConversion"/>
  </si>
  <si>
    <t>경기도 고양시 덕양구 충장로103번길 23, 107동 2204호</t>
    <phoneticPr fontId="2" type="noConversion"/>
  </si>
  <si>
    <t>공사1팀</t>
    <phoneticPr fontId="2" type="noConversion"/>
  </si>
  <si>
    <t>O</t>
    <phoneticPr fontId="2" type="noConversion"/>
  </si>
  <si>
    <t>서울특별시 광진구 긴고랑로3길 17, 402호</t>
    <phoneticPr fontId="2" type="noConversion"/>
  </si>
  <si>
    <t>강태원</t>
    <phoneticPr fontId="2" type="noConversion"/>
  </si>
  <si>
    <t>경기도 수원시 장안구 덕영대로425번길 14-10 (해피하우스)</t>
    <phoneticPr fontId="2" type="noConversion"/>
  </si>
  <si>
    <t>2022-02-03</t>
    <phoneticPr fontId="2" type="noConversion"/>
  </si>
  <si>
    <t>곽상우</t>
    <phoneticPr fontId="2" type="noConversion"/>
  </si>
  <si>
    <t>서울특별시 강서구 공항대로63길 14, 301동 805호 (우성3차)</t>
    <phoneticPr fontId="2" type="noConversion"/>
  </si>
  <si>
    <t>2020-04-13</t>
    <phoneticPr fontId="2" type="noConversion"/>
  </si>
  <si>
    <t>김명석</t>
    <phoneticPr fontId="2" type="noConversion"/>
  </si>
  <si>
    <t>경기 부천시 중동로 280번길 27, 615동 1405호(중흥마을 신동아아파트)</t>
    <phoneticPr fontId="2" type="noConversion"/>
  </si>
  <si>
    <t>2022-11-23</t>
    <phoneticPr fontId="2" type="noConversion"/>
  </si>
  <si>
    <t>김명식</t>
    <phoneticPr fontId="2" type="noConversion"/>
  </si>
  <si>
    <t>서울특별시 영등포구 영등포로62가길 10 (202호)</t>
    <phoneticPr fontId="2" type="noConversion"/>
  </si>
  <si>
    <t>2021-11-01</t>
    <phoneticPr fontId="2" type="noConversion"/>
  </si>
  <si>
    <t>김세종</t>
    <phoneticPr fontId="2" type="noConversion"/>
  </si>
  <si>
    <t>서울특별시 구로구 가마산로 271, 1104호(구로동, 구로오네드시티)</t>
    <phoneticPr fontId="2" type="noConversion"/>
  </si>
  <si>
    <t>2024-01-03</t>
    <phoneticPr fontId="2" type="noConversion"/>
  </si>
  <si>
    <t>김승민</t>
    <phoneticPr fontId="2" type="noConversion"/>
  </si>
  <si>
    <t>경기도 부천시 양지로48번길 16, 301호</t>
    <phoneticPr fontId="2" type="noConversion"/>
  </si>
  <si>
    <t>2020-09-01</t>
    <phoneticPr fontId="2" type="noConversion"/>
  </si>
  <si>
    <t>김용갑</t>
    <phoneticPr fontId="2" type="noConversion"/>
  </si>
  <si>
    <t>경기도 안산시 상록구 예술광장1로, 5동 1304호</t>
    <phoneticPr fontId="2" type="noConversion"/>
  </si>
  <si>
    <t>2014-03-01</t>
    <phoneticPr fontId="2" type="noConversion"/>
  </si>
  <si>
    <t>김용원</t>
    <phoneticPr fontId="2" type="noConversion"/>
  </si>
  <si>
    <t>서울특별시 동대문구 장안벚꽃로 107, 118동 2001호(장안현대홈타운1차)</t>
    <phoneticPr fontId="2" type="noConversion"/>
  </si>
  <si>
    <t>2015-07-01</t>
    <phoneticPr fontId="2" type="noConversion"/>
  </si>
  <si>
    <t>김장섭</t>
    <phoneticPr fontId="2" type="noConversion"/>
  </si>
  <si>
    <t>서울특별시 노원구 노원로38길 76, 108동 2202호 (상계동, 포레나노원)</t>
    <phoneticPr fontId="2" type="noConversion"/>
  </si>
  <si>
    <t>2023-07-01</t>
    <phoneticPr fontId="2" type="noConversion"/>
  </si>
  <si>
    <t>김재성</t>
    <phoneticPr fontId="2" type="noConversion"/>
  </si>
  <si>
    <t>서울특별시 마포구 월드컵북로42가길 11, 202동 505호</t>
    <phoneticPr fontId="2" type="noConversion"/>
  </si>
  <si>
    <t>2021-04-01</t>
    <phoneticPr fontId="2" type="noConversion"/>
  </si>
  <si>
    <t>김종현</t>
    <phoneticPr fontId="2" type="noConversion"/>
  </si>
  <si>
    <t>경기도 수원시 팔달구 화산로6번길 15-3, 401호 (화서동)</t>
    <phoneticPr fontId="2" type="noConversion"/>
  </si>
  <si>
    <t>2019-06-25</t>
    <phoneticPr fontId="2" type="noConversion"/>
  </si>
  <si>
    <t>김주엽</t>
    <phoneticPr fontId="2" type="noConversion"/>
  </si>
  <si>
    <t>서울특별시 동작구 만양로 19, 707동 109호(노량진동, 신동아리버파크)</t>
    <phoneticPr fontId="2" type="noConversion"/>
  </si>
  <si>
    <t>2023-11-15</t>
    <phoneticPr fontId="2" type="noConversion"/>
  </si>
  <si>
    <t>김해양</t>
    <phoneticPr fontId="2" type="noConversion"/>
  </si>
  <si>
    <t>서울특별시 영등포구 신길로62길 3, 3층</t>
    <phoneticPr fontId="2" type="noConversion"/>
  </si>
  <si>
    <t>2019-08-01</t>
    <phoneticPr fontId="2" type="noConversion"/>
  </si>
  <si>
    <t>남윤재</t>
    <phoneticPr fontId="2" type="noConversion"/>
  </si>
  <si>
    <t>경기도 화성시 동부대로 951, 1703동 701호 (중흥S클래스)</t>
    <phoneticPr fontId="2" type="noConversion"/>
  </si>
  <si>
    <t>2022-02-01</t>
    <phoneticPr fontId="2" type="noConversion"/>
  </si>
  <si>
    <t>노윤석</t>
    <phoneticPr fontId="2" type="noConversion"/>
  </si>
  <si>
    <t>경기도 안양시 동안구 학의로 46, 209동 902호 (관악부영)</t>
    <phoneticPr fontId="2" type="noConversion"/>
  </si>
  <si>
    <t>2020-05-06</t>
    <phoneticPr fontId="2" type="noConversion"/>
  </si>
  <si>
    <t>모정욱</t>
    <phoneticPr fontId="2" type="noConversion"/>
  </si>
  <si>
    <t>서울특별시 강동구 고덕로98길 101, 1101동 228호 (상일동, 강동리엔파크11단지)</t>
    <phoneticPr fontId="2" type="noConversion"/>
  </si>
  <si>
    <t>2024-04-15</t>
    <phoneticPr fontId="2" type="noConversion"/>
  </si>
  <si>
    <t>박경화</t>
    <phoneticPr fontId="2" type="noConversion"/>
  </si>
  <si>
    <t>경기도 김포시 모담공원로167번길 63</t>
    <phoneticPr fontId="2" type="noConversion"/>
  </si>
  <si>
    <t>1999-08-10</t>
    <phoneticPr fontId="2" type="noConversion"/>
  </si>
  <si>
    <t>박성용</t>
    <phoneticPr fontId="2" type="noConversion"/>
  </si>
  <si>
    <t>인천광역시 부평구 마장로324번길 27-8, 다동 104호 (대운)</t>
    <phoneticPr fontId="2" type="noConversion"/>
  </si>
  <si>
    <t>박은호</t>
    <phoneticPr fontId="2" type="noConversion"/>
  </si>
  <si>
    <t>경기도 부천시 소사구 하우로 283, 201호 (대광홈타운)</t>
    <phoneticPr fontId="2" type="noConversion"/>
  </si>
  <si>
    <t>2014-03-27</t>
    <phoneticPr fontId="2" type="noConversion"/>
  </si>
  <si>
    <t>박진균</t>
    <phoneticPr fontId="2" type="noConversion"/>
  </si>
  <si>
    <t>서울특별시 광진구 용마산로27길 31, 102호 (우영빌라)</t>
    <phoneticPr fontId="2" type="noConversion"/>
  </si>
  <si>
    <t>2015-01-01</t>
    <phoneticPr fontId="2" type="noConversion"/>
  </si>
  <si>
    <t>손병휘</t>
    <phoneticPr fontId="2" type="noConversion"/>
  </si>
  <si>
    <t>경기도 화성시 동탄대로3길 33, 2921동 103호 (레이크자연앤푸르지오)</t>
    <phoneticPr fontId="2" type="noConversion"/>
  </si>
  <si>
    <t>2012-12-01</t>
    <phoneticPr fontId="2" type="noConversion"/>
  </si>
  <si>
    <t>신영석</t>
    <phoneticPr fontId="2" type="noConversion"/>
  </si>
  <si>
    <t>경기도 김포시 김포한강2로24번길 116-53, 304호</t>
    <phoneticPr fontId="2" type="noConversion"/>
  </si>
  <si>
    <t>2015-03-09</t>
    <phoneticPr fontId="2" type="noConversion"/>
  </si>
  <si>
    <t>신인성</t>
    <phoneticPr fontId="2" type="noConversion"/>
  </si>
  <si>
    <t>2019-09-02</t>
    <phoneticPr fontId="2" type="noConversion"/>
  </si>
  <si>
    <t>양규성</t>
    <phoneticPr fontId="2" type="noConversion"/>
  </si>
  <si>
    <t>서울특별시 구로구 경인로20가길 68, 102동 503호(오류동, 행복주택)</t>
    <phoneticPr fontId="2" type="noConversion"/>
  </si>
  <si>
    <t>2023-12-13</t>
    <phoneticPr fontId="2" type="noConversion"/>
  </si>
  <si>
    <t>양원혁</t>
    <phoneticPr fontId="2" type="noConversion"/>
  </si>
  <si>
    <t>서울특별시 양천구 화곡로12길 23-19, 303호(양지빌라)</t>
    <phoneticPr fontId="2" type="noConversion"/>
  </si>
  <si>
    <t>2022-12-01</t>
    <phoneticPr fontId="2" type="noConversion"/>
  </si>
  <si>
    <t>윤상영</t>
    <phoneticPr fontId="2" type="noConversion"/>
  </si>
  <si>
    <t>인천광역시 연수구 컨벤시아대로130번길 58, 101동 802호 (송도동, 송도자이하버뷰1단지아파트)</t>
    <phoneticPr fontId="2" type="noConversion"/>
  </si>
  <si>
    <t>2024-04-01</t>
    <phoneticPr fontId="2" type="noConversion"/>
  </si>
  <si>
    <t>이경룡</t>
    <phoneticPr fontId="2" type="noConversion"/>
  </si>
  <si>
    <t>서울특별시 강동구 천중로12길 1, 105동 603호 (천호동, 성우스타팰리스)</t>
    <phoneticPr fontId="2" type="noConversion"/>
  </si>
  <si>
    <t>2024-05-07</t>
    <phoneticPr fontId="2" type="noConversion"/>
  </si>
  <si>
    <t>이광훈</t>
    <phoneticPr fontId="2" type="noConversion"/>
  </si>
  <si>
    <t>서울특별시 동대문구 장안벚꽃로 107, 장안현대홈타운 111동 104호</t>
    <phoneticPr fontId="2" type="noConversion"/>
  </si>
  <si>
    <t>2021-01-04</t>
    <phoneticPr fontId="2" type="noConversion"/>
  </si>
  <si>
    <t>이예은</t>
    <phoneticPr fontId="2" type="noConversion"/>
  </si>
  <si>
    <t>서울특별시 영등포구 문래로 82, 106동 1902호</t>
    <phoneticPr fontId="2" type="noConversion"/>
  </si>
  <si>
    <t>2022-05-01</t>
    <phoneticPr fontId="2" type="noConversion"/>
  </si>
  <si>
    <t>이원기</t>
    <phoneticPr fontId="2" type="noConversion"/>
  </si>
  <si>
    <t>서울특별시 노원구 마들로 31, 109동 1106호 (한신그랑빌)</t>
    <phoneticPr fontId="2" type="noConversion"/>
  </si>
  <si>
    <t>2012-10-01</t>
    <phoneticPr fontId="2" type="noConversion"/>
  </si>
  <si>
    <t>이재용</t>
    <phoneticPr fontId="2" type="noConversion"/>
  </si>
  <si>
    <t>인천광역시 미추홀구 한나루로341번길 40, 102동 604호</t>
    <phoneticPr fontId="2" type="noConversion"/>
  </si>
  <si>
    <t>2020-06-23</t>
    <phoneticPr fontId="2" type="noConversion"/>
  </si>
  <si>
    <t>이호준</t>
    <phoneticPr fontId="2" type="noConversion"/>
  </si>
  <si>
    <t>인천광역시 서구 서로3로 50, 805동 301호 (당하동, 검단신도시 모아미래도 엘리트파크)</t>
    <phoneticPr fontId="2" type="noConversion"/>
  </si>
  <si>
    <t>2024-04-18</t>
    <phoneticPr fontId="2" type="noConversion"/>
  </si>
  <si>
    <t>임채진</t>
    <phoneticPr fontId="2" type="noConversion"/>
  </si>
  <si>
    <t>서울특별시 영등포구 가마산로 442, 201동 1207호</t>
    <phoneticPr fontId="2" type="noConversion"/>
  </si>
  <si>
    <t>2023-02-13</t>
    <phoneticPr fontId="2" type="noConversion"/>
  </si>
  <si>
    <t>임채효</t>
    <phoneticPr fontId="2" type="noConversion"/>
  </si>
  <si>
    <t>서울특별시 영등포구 신풍로22길 7, 602호 (제일골드타워)</t>
    <phoneticPr fontId="2" type="noConversion"/>
  </si>
  <si>
    <t>2022-03-07</t>
    <phoneticPr fontId="2" type="noConversion"/>
  </si>
  <si>
    <t>전용성</t>
    <phoneticPr fontId="2" type="noConversion"/>
  </si>
  <si>
    <t>서울특별시 강동구 진황도로 159, 새얀빌 203호</t>
    <phoneticPr fontId="2" type="noConversion"/>
  </si>
  <si>
    <t>2022-04-04</t>
    <phoneticPr fontId="2" type="noConversion"/>
  </si>
  <si>
    <t>정상익</t>
    <phoneticPr fontId="2" type="noConversion"/>
  </si>
  <si>
    <t>경기도 고양시 일산서구 후곡로 10, 903동 1502호 (일산동, 후곡마을9단지아파트)</t>
    <phoneticPr fontId="2" type="noConversion"/>
  </si>
  <si>
    <t>2022-04-01</t>
    <phoneticPr fontId="2" type="noConversion"/>
  </si>
  <si>
    <t>정완근</t>
    <phoneticPr fontId="2" type="noConversion"/>
  </si>
  <si>
    <t>서울특별시 성동구 마조로1길 55, 701호 (한성)</t>
    <phoneticPr fontId="2" type="noConversion"/>
  </si>
  <si>
    <t>2021-06-01</t>
    <phoneticPr fontId="2" type="noConversion"/>
  </si>
  <si>
    <t>정태순</t>
    <phoneticPr fontId="2" type="noConversion"/>
  </si>
  <si>
    <t>인천광역시 연수구 원인재로 56, 101동 305호</t>
    <phoneticPr fontId="2" type="noConversion"/>
  </si>
  <si>
    <t>2023-09-01</t>
    <phoneticPr fontId="2" type="noConversion"/>
  </si>
  <si>
    <t>조동문</t>
    <phoneticPr fontId="2" type="noConversion"/>
  </si>
  <si>
    <t>서울특별시 송파구 가락로 192, 21동 805호 (2차한양)</t>
    <phoneticPr fontId="2" type="noConversion"/>
  </si>
  <si>
    <t>2021-02-16</t>
    <phoneticPr fontId="2" type="noConversion"/>
  </si>
  <si>
    <t>천이나</t>
    <phoneticPr fontId="2" type="noConversion"/>
  </si>
  <si>
    <t>서울특별시 서초구 서초대로 385, 1동 804호</t>
    <phoneticPr fontId="2" type="noConversion"/>
  </si>
  <si>
    <t>2018-05-14</t>
    <phoneticPr fontId="2" type="noConversion"/>
  </si>
  <si>
    <t>최우영</t>
    <phoneticPr fontId="2" type="noConversion"/>
  </si>
  <si>
    <t>서울특별시 강서구 화곡로44길 14, 301호 (쌍용빌라)</t>
    <phoneticPr fontId="2" type="noConversion"/>
  </si>
  <si>
    <t>2020-12-01</t>
    <phoneticPr fontId="2" type="noConversion"/>
  </si>
  <si>
    <t>최하늘</t>
    <phoneticPr fontId="2" type="noConversion"/>
  </si>
  <si>
    <t>인천광역시 부평구 경원대로1363번길 23, 806호(퀸즈타운)</t>
    <phoneticPr fontId="2" type="noConversion"/>
  </si>
  <si>
    <t>2023-04-17</t>
    <phoneticPr fontId="2" type="noConversion"/>
  </si>
  <si>
    <t>허성태</t>
    <phoneticPr fontId="2" type="noConversion"/>
  </si>
  <si>
    <t>서울특별시 용산구 용산동2가 신흥로 113</t>
    <phoneticPr fontId="2" type="noConversion"/>
  </si>
  <si>
    <t>2021-08-17</t>
    <phoneticPr fontId="2" type="noConversion"/>
  </si>
  <si>
    <t>홍소민</t>
    <phoneticPr fontId="2" type="noConversion"/>
  </si>
  <si>
    <t>경기도 부천시 소사구 범안로 231-7, 705호 (옥길동, 이노타워)</t>
    <phoneticPr fontId="2" type="noConversion"/>
  </si>
  <si>
    <t>2023-06-08</t>
    <phoneticPr fontId="2" type="noConversion"/>
  </si>
  <si>
    <t>황순철</t>
    <phoneticPr fontId="2" type="noConversion"/>
  </si>
  <si>
    <t>서울특별시 금천구 시흥대로68길 59, A동 301호 (형제베스트빌)</t>
    <phoneticPr fontId="2" type="noConversion"/>
  </si>
  <si>
    <t>2013-12-02</t>
    <phoneticPr fontId="2" type="noConversion"/>
  </si>
  <si>
    <t>서울특별시 영등포구 당산로42길 16, 502동 1801호 (현대5차)</t>
    <phoneticPr fontId="2" type="noConversion"/>
  </si>
  <si>
    <t>경기도 김포시 김포한강11로 287, 209동 1503호 (대림e편한세상)</t>
    <phoneticPr fontId="2" type="noConversion"/>
  </si>
  <si>
    <t>엄재복</t>
    <phoneticPr fontId="2" type="noConversion"/>
  </si>
  <si>
    <t>010-3501-4067</t>
    <phoneticPr fontId="2" type="noConversion"/>
  </si>
  <si>
    <t>인천광역시 계양구 주부토로501번길 26, 6동 403호 (계산동, 서해그린아파트)</t>
    <phoneticPr fontId="2" type="noConversion"/>
  </si>
  <si>
    <t>품질안전보건실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</si>
</sst>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>
      <alignment vertical="center"/>
    </xf>
    <xf numFmtId="41" fontId="3" fillId="0" borderId="0" xfId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1" fontId="3" fillId="4" borderId="0" xfId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4" fontId="0" fillId="0" borderId="0" xfId="0" applyNumberFormat="1">
      <alignment vertical="center"/>
    </xf>
    <xf numFmtId="0" fontId="7" fillId="0" borderId="4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76" fontId="6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77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numFmt numFmtId="176" formatCode="yyyy/mm/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D95130-2F44-4427-8E27-5FBA5EF1A79B}" name="표3" displayName="표3" ref="A4:R61" totalsRowShown="0" headerRowDxfId="19" dataDxfId="18">
  <autoFilter ref="A4:R61" xr:uid="{FA821EB2-48C8-432C-9724-6D3DD8618659}"/>
  <tableColumns count="18">
    <tableColumn id="1" xr3:uid="{4B8510B8-D5AD-4E24-92E8-F1FDEACDFBAE}" name="연번" dataDxfId="17"/>
    <tableColumn id="2" xr3:uid="{B13284CC-D688-476B-ABA1-3FA694225EA3}" name="성명" dataDxfId="16"/>
    <tableColumn id="24" xr3:uid="{7478CF9C-A05E-4FCB-AC75-5BA838321CCF}" name="성별" dataDxfId="15"/>
    <tableColumn id="3" xr3:uid="{0EA12D29-5DFE-408F-8A0F-9E1803131B53}" name="생년월일" dataDxfId="14"/>
    <tableColumn id="13" xr3:uid="{3BB3A506-A2D8-4F25-B4CC-1F8C0A768F9F}" name="휴대전화" dataDxfId="13"/>
    <tableColumn id="10" xr3:uid="{F852BD19-4F04-42AE-85FB-CFAFBB20C26D}" name="주소" dataDxfId="12"/>
    <tableColumn id="4" xr3:uid="{D2D119B4-420D-4B62-B43E-47C3426208BE}" name="고용일" dataDxfId="11"/>
    <tableColumn id="7" xr3:uid="{2D098D2E-FA29-4C2E-AA93-8C90BA133BEE}" name="기간제여부" dataDxfId="10"/>
    <tableColumn id="8" xr3:uid="{D15DA0C3-5764-4A0E-9843-1A0533F64256}" name="형태" dataDxfId="9"/>
    <tableColumn id="9" xr3:uid="{F909C835-2704-4885-81DC-C57245699786}" name="임금" dataDxfId="8" dataCellStyle="쉼표 [0]"/>
    <tableColumn id="19" xr3:uid="{75748B3C-1A11-4924-8D95-1C1829B7B461}" name="해고일" dataDxfId="7"/>
    <tableColumn id="20" xr3:uid="{0D5EFECB-AD66-4EF3-AAF1-087EA0DC8573}" name="퇴직일" dataDxfId="6"/>
    <tableColumn id="21" xr3:uid="{AF1C02D8-172C-4B16-A454-D3D3C808AF1B}" name="사유" dataDxfId="5"/>
    <tableColumn id="14" xr3:uid="{30F742D7-F32E-4887-84D5-A3277FE4DA1F}" name="종사업무" dataDxfId="4"/>
    <tableColumn id="15" xr3:uid="{9AF2E013-4B87-4525-B164-1655344DC99F}" name="부서" dataDxfId="3"/>
    <tableColumn id="17" xr3:uid="{23205653-4E4D-4A6D-9D9F-9306246540C9}" name="경력(일)" dataDxfId="2">
      <calculatedColumnFormula>IF(표3[[#This Row],[고용일]]="","",(IF(표3[[#This Row],[퇴직일]]="",$Q$2-표3[[#This Row],[고용일]],표3[[#This Row],[퇴직일]]-표3[[#This Row],[고용일]])))</calculatedColumnFormula>
    </tableColumn>
    <tableColumn id="22" xr3:uid="{26D5BFC2-34C0-4F52-8CC2-214850CD370F}" name="금품청산" dataDxfId="1"/>
    <tableColumn id="23" xr3:uid="{72039AB4-1A58-4681-9B51-DE0E28B3EA35}" name="특이사항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0A63-23B3-4E26-95D8-8CE693848F3C}">
  <sheetPr>
    <pageSetUpPr fitToPage="1"/>
  </sheetPr>
  <dimension ref="A1:V61"/>
  <sheetViews>
    <sheetView tabSelected="1" zoomScale="85" zoomScaleNormal="85" workbookViewId="0">
      <pane ySplit="4" topLeftCell="A30" activePane="bottomLeft" state="frozen"/>
      <selection pane="bottomLeft" activeCell="A2" sqref="A2:R59"/>
    </sheetView>
  </sheetViews>
  <sheetFormatPr defaultRowHeight="16.5" x14ac:dyDescent="0.3"/>
  <cols>
    <col min="1" max="1" width="6.75" style="1" bestFit="1" customWidth="1"/>
    <col min="2" max="3" width="9" style="1"/>
    <col min="4" max="4" width="11.625" style="1" bestFit="1" customWidth="1"/>
    <col min="5" max="5" width="12.625" style="1" bestFit="1" customWidth="1"/>
    <col min="6" max="6" width="78" style="1" customWidth="1"/>
    <col min="7" max="7" width="10.5" style="1" customWidth="1"/>
    <col min="8" max="8" width="10.875" style="1" customWidth="1"/>
    <col min="9" max="9" width="10.375" style="1" customWidth="1"/>
    <col min="10" max="10" width="7.875" style="3" customWidth="1"/>
    <col min="11" max="11" width="9" style="1" customWidth="1"/>
    <col min="12" max="12" width="11.375" style="1" customWidth="1"/>
    <col min="13" max="13" width="8.75" style="1" customWidth="1"/>
    <col min="15" max="15" width="15.125" bestFit="1" customWidth="1"/>
    <col min="16" max="16" width="10.25" bestFit="1" customWidth="1"/>
    <col min="17" max="17" width="11.625" bestFit="1" customWidth="1"/>
    <col min="19" max="19" width="9.25" style="1" customWidth="1"/>
    <col min="23" max="24" width="9" style="1"/>
    <col min="25" max="25" width="9.75" style="1" bestFit="1" customWidth="1"/>
    <col min="26" max="26" width="9" style="1"/>
    <col min="27" max="28" width="9.25" style="1" customWidth="1"/>
    <col min="29" max="16384" width="9" style="1"/>
  </cols>
  <sheetData>
    <row r="1" spans="1:18" ht="10.5" customHeight="1" x14ac:dyDescent="0.3"/>
    <row r="2" spans="1:18" ht="54.75" customHeight="1" x14ac:dyDescent="0.3">
      <c r="A2" s="12" t="s">
        <v>51</v>
      </c>
      <c r="B2" s="12"/>
      <c r="C2" s="12"/>
      <c r="D2" s="12"/>
      <c r="E2" s="10"/>
      <c r="Q2" s="11">
        <f ca="1">TODAY()</f>
        <v>45769</v>
      </c>
    </row>
    <row r="3" spans="1:18" s="2" customFormat="1" ht="16.5" customHeight="1" x14ac:dyDescent="0.3">
      <c r="A3" s="7" t="s">
        <v>19</v>
      </c>
      <c r="B3" s="22" t="s">
        <v>18</v>
      </c>
      <c r="C3" s="22"/>
      <c r="D3" s="22"/>
      <c r="E3" s="22"/>
      <c r="F3" s="22"/>
      <c r="G3" s="19" t="s">
        <v>11</v>
      </c>
      <c r="H3" s="19"/>
      <c r="I3" s="19"/>
      <c r="J3" s="19"/>
      <c r="K3" s="19"/>
      <c r="L3" s="19"/>
      <c r="M3" s="19"/>
      <c r="N3" s="19"/>
      <c r="O3" s="20" t="s">
        <v>17</v>
      </c>
      <c r="P3" s="20"/>
      <c r="Q3" s="20"/>
      <c r="R3" s="21"/>
    </row>
    <row r="4" spans="1:18" s="2" customFormat="1" ht="13.5" x14ac:dyDescent="0.3">
      <c r="A4" s="2" t="s">
        <v>0</v>
      </c>
      <c r="B4" s="8" t="s">
        <v>1</v>
      </c>
      <c r="C4" s="8" t="s">
        <v>20</v>
      </c>
      <c r="D4" s="8" t="s">
        <v>2</v>
      </c>
      <c r="E4" s="8" t="s">
        <v>4</v>
      </c>
      <c r="F4" s="8" t="s">
        <v>3</v>
      </c>
      <c r="G4" s="5" t="s">
        <v>10</v>
      </c>
      <c r="H4" s="5" t="s">
        <v>13</v>
      </c>
      <c r="I4" s="5" t="s">
        <v>14</v>
      </c>
      <c r="J4" s="6" t="s">
        <v>15</v>
      </c>
      <c r="K4" s="5" t="s">
        <v>6</v>
      </c>
      <c r="L4" s="5" t="s">
        <v>7</v>
      </c>
      <c r="M4" s="5" t="s">
        <v>8</v>
      </c>
      <c r="N4" s="5" t="s">
        <v>5</v>
      </c>
      <c r="O4" s="9" t="s">
        <v>23</v>
      </c>
      <c r="P4" s="9" t="s">
        <v>103</v>
      </c>
      <c r="Q4" s="9" t="s">
        <v>9</v>
      </c>
      <c r="R4" s="9" t="s">
        <v>12</v>
      </c>
    </row>
    <row r="5" spans="1:18" s="2" customFormat="1" x14ac:dyDescent="0.3">
      <c r="A5" s="13">
        <v>1</v>
      </c>
      <c r="B5" s="14" t="s">
        <v>126</v>
      </c>
      <c r="C5" s="13" t="s">
        <v>21</v>
      </c>
      <c r="D5" s="15">
        <v>30546</v>
      </c>
      <c r="E5" s="16" t="s">
        <v>53</v>
      </c>
      <c r="F5" s="17" t="s">
        <v>127</v>
      </c>
      <c r="G5" s="14" t="s">
        <v>128</v>
      </c>
      <c r="H5" s="2" t="s">
        <v>25</v>
      </c>
      <c r="I5" s="2" t="s">
        <v>16</v>
      </c>
      <c r="J5" s="4"/>
      <c r="N5" s="2" t="s">
        <v>22</v>
      </c>
      <c r="O5" s="2" t="s">
        <v>40</v>
      </c>
      <c r="P5" s="2">
        <f ca="1">IF(표3[[#This Row],[고용일]]="","",(IF(표3[[#This Row],[퇴직일]]="",$Q$2-표3[[#This Row],[고용일]],표3[[#This Row],[퇴직일]]-표3[[#This Row],[고용일]])))</f>
        <v>1174</v>
      </c>
    </row>
    <row r="6" spans="1:18" s="2" customFormat="1" x14ac:dyDescent="0.3">
      <c r="A6" s="13">
        <v>2</v>
      </c>
      <c r="B6" s="14" t="s">
        <v>129</v>
      </c>
      <c r="C6" s="13" t="s">
        <v>21</v>
      </c>
      <c r="D6" s="15">
        <v>33342</v>
      </c>
      <c r="E6" s="16" t="s">
        <v>54</v>
      </c>
      <c r="F6" s="17" t="s">
        <v>130</v>
      </c>
      <c r="G6" s="14" t="s">
        <v>131</v>
      </c>
      <c r="H6" s="2" t="s">
        <v>25</v>
      </c>
      <c r="I6" s="2" t="s">
        <v>16</v>
      </c>
      <c r="J6" s="4"/>
      <c r="N6" s="2" t="s">
        <v>22</v>
      </c>
      <c r="O6" s="2" t="s">
        <v>40</v>
      </c>
      <c r="P6" s="2">
        <f ca="1">IF(표3[[#This Row],[고용일]]="","",(IF(표3[[#This Row],[퇴직일]]="",$Q$2-표3[[#This Row],[고용일]],표3[[#This Row],[퇴직일]]-표3[[#This Row],[고용일]])))</f>
        <v>1835</v>
      </c>
    </row>
    <row r="7" spans="1:18" ht="18.75" customHeight="1" x14ac:dyDescent="0.3">
      <c r="A7" s="13">
        <v>3</v>
      </c>
      <c r="B7" s="14" t="s">
        <v>132</v>
      </c>
      <c r="C7" s="13" t="s">
        <v>21</v>
      </c>
      <c r="D7" s="15">
        <v>35231</v>
      </c>
      <c r="E7" s="16" t="s">
        <v>55</v>
      </c>
      <c r="F7" s="17" t="s">
        <v>133</v>
      </c>
      <c r="G7" s="14" t="s">
        <v>134</v>
      </c>
      <c r="H7" s="2" t="s">
        <v>25</v>
      </c>
      <c r="I7" s="2" t="s">
        <v>16</v>
      </c>
      <c r="J7" s="4"/>
      <c r="K7" s="2"/>
      <c r="L7" s="2" t="s">
        <v>26</v>
      </c>
      <c r="M7" s="2"/>
      <c r="N7" s="2" t="s">
        <v>22</v>
      </c>
      <c r="O7" s="2" t="s">
        <v>42</v>
      </c>
      <c r="P7" s="2">
        <f>IF(표3[[#This Row],[고용일]]="","",(IF(표3[[#This Row],[퇴직일]]="",$Q$2-표3[[#This Row],[고용일]],표3[[#This Row],[퇴직일]]-표3[[#This Row],[고용일]])))</f>
        <v>168</v>
      </c>
      <c r="Q7" s="2" t="s">
        <v>124</v>
      </c>
      <c r="R7" s="2"/>
    </row>
    <row r="8" spans="1:18" ht="16.5" customHeight="1" x14ac:dyDescent="0.3">
      <c r="A8" s="13">
        <v>4</v>
      </c>
      <c r="B8" s="14" t="s">
        <v>135</v>
      </c>
      <c r="C8" s="13" t="s">
        <v>21</v>
      </c>
      <c r="D8" s="15">
        <v>29967</v>
      </c>
      <c r="E8" s="16" t="s">
        <v>56</v>
      </c>
      <c r="F8" s="17" t="s">
        <v>136</v>
      </c>
      <c r="G8" s="14" t="s">
        <v>137</v>
      </c>
      <c r="H8" s="2" t="s">
        <v>25</v>
      </c>
      <c r="I8" s="2" t="s">
        <v>16</v>
      </c>
      <c r="J8" s="4"/>
      <c r="K8" s="2"/>
      <c r="L8" s="2"/>
      <c r="M8" s="2"/>
      <c r="N8" s="2" t="s">
        <v>22</v>
      </c>
      <c r="O8" s="2" t="s">
        <v>43</v>
      </c>
      <c r="P8" s="2">
        <f ca="1">IF(표3[[#This Row],[고용일]]="","",(IF(표3[[#This Row],[퇴직일]]="",$Q$2-표3[[#This Row],[고용일]],표3[[#This Row],[퇴직일]]-표3[[#This Row],[고용일]])))</f>
        <v>1268</v>
      </c>
      <c r="Q8" s="2"/>
      <c r="R8" s="2"/>
    </row>
    <row r="9" spans="1:18" ht="18.75" customHeight="1" x14ac:dyDescent="0.3">
      <c r="A9" s="13">
        <v>5</v>
      </c>
      <c r="B9" s="14" t="s">
        <v>138</v>
      </c>
      <c r="C9" s="13" t="s">
        <v>21</v>
      </c>
      <c r="D9" s="15">
        <v>32602</v>
      </c>
      <c r="E9" s="16" t="s">
        <v>57</v>
      </c>
      <c r="F9" s="17" t="s">
        <v>139</v>
      </c>
      <c r="G9" s="14" t="s">
        <v>140</v>
      </c>
      <c r="H9" s="2" t="s">
        <v>25</v>
      </c>
      <c r="I9" s="2" t="s">
        <v>16</v>
      </c>
      <c r="J9" s="4"/>
      <c r="K9" s="2"/>
      <c r="L9" s="2" t="s">
        <v>27</v>
      </c>
      <c r="M9" s="2"/>
      <c r="N9" s="2" t="s">
        <v>22</v>
      </c>
      <c r="O9" s="2" t="s">
        <v>44</v>
      </c>
      <c r="P9" s="2">
        <f>IF(표3[[#This Row],[고용일]]="","",(IF(표3[[#This Row],[퇴직일]]="",$Q$2-표3[[#This Row],[고용일]],표3[[#This Row],[퇴직일]]-표3[[#This Row],[고용일]])))</f>
        <v>2</v>
      </c>
      <c r="Q9" s="2" t="s">
        <v>124</v>
      </c>
      <c r="R9" s="2"/>
    </row>
    <row r="10" spans="1:18" ht="18.75" customHeight="1" x14ac:dyDescent="0.3">
      <c r="A10" s="13">
        <v>6</v>
      </c>
      <c r="B10" s="14" t="s">
        <v>141</v>
      </c>
      <c r="C10" s="13" t="s">
        <v>21</v>
      </c>
      <c r="D10" s="15">
        <v>34275</v>
      </c>
      <c r="E10" s="16" t="s">
        <v>58</v>
      </c>
      <c r="F10" s="17" t="s">
        <v>142</v>
      </c>
      <c r="G10" s="14" t="s">
        <v>143</v>
      </c>
      <c r="H10" s="2" t="s">
        <v>25</v>
      </c>
      <c r="I10" s="2" t="s">
        <v>16</v>
      </c>
      <c r="J10" s="4"/>
      <c r="K10" s="2"/>
      <c r="L10" s="2" t="s">
        <v>28</v>
      </c>
      <c r="M10" s="2"/>
      <c r="N10" s="2" t="s">
        <v>22</v>
      </c>
      <c r="O10" s="2" t="s">
        <v>43</v>
      </c>
      <c r="P10" s="2">
        <f>IF(표3[[#This Row],[고용일]]="","",(IF(표3[[#This Row],[퇴직일]]="",$Q$2-표3[[#This Row],[고용일]],표3[[#This Row],[퇴직일]]-표3[[#This Row],[고용일]])))</f>
        <v>1124</v>
      </c>
      <c r="Q10" s="2" t="s">
        <v>124</v>
      </c>
      <c r="R10" s="2"/>
    </row>
    <row r="11" spans="1:18" ht="16.5" customHeight="1" x14ac:dyDescent="0.3">
      <c r="A11" s="13">
        <v>7</v>
      </c>
      <c r="B11" s="14" t="s">
        <v>144</v>
      </c>
      <c r="C11" s="13" t="s">
        <v>21</v>
      </c>
      <c r="D11" s="15">
        <v>21320</v>
      </c>
      <c r="E11" s="16" t="s">
        <v>59</v>
      </c>
      <c r="F11" s="17" t="s">
        <v>145</v>
      </c>
      <c r="G11" s="14" t="s">
        <v>146</v>
      </c>
      <c r="H11" s="2" t="s">
        <v>25</v>
      </c>
      <c r="I11" s="2" t="s">
        <v>16</v>
      </c>
      <c r="J11" s="4"/>
      <c r="K11" s="2"/>
      <c r="L11" s="2"/>
      <c r="M11" s="2"/>
      <c r="N11" s="2" t="s">
        <v>22</v>
      </c>
      <c r="O11" s="2" t="s">
        <v>40</v>
      </c>
      <c r="P11" s="2">
        <f ca="1">IF(표3[[#This Row],[고용일]]="","",(IF(표3[[#This Row],[퇴직일]]="",$Q$2-표3[[#This Row],[고용일]],표3[[#This Row],[퇴직일]]-표3[[#This Row],[고용일]])))</f>
        <v>4070</v>
      </c>
      <c r="Q11" s="2"/>
      <c r="R11" s="2"/>
    </row>
    <row r="12" spans="1:18" ht="16.5" customHeight="1" x14ac:dyDescent="0.3">
      <c r="A12" s="13">
        <v>8</v>
      </c>
      <c r="B12" s="14" t="s">
        <v>147</v>
      </c>
      <c r="C12" s="13" t="s">
        <v>21</v>
      </c>
      <c r="D12" s="15">
        <v>33229</v>
      </c>
      <c r="E12" s="16" t="s">
        <v>60</v>
      </c>
      <c r="F12" s="17" t="s">
        <v>148</v>
      </c>
      <c r="G12" s="14" t="s">
        <v>149</v>
      </c>
      <c r="H12" s="2" t="s">
        <v>25</v>
      </c>
      <c r="I12" s="2" t="s">
        <v>16</v>
      </c>
      <c r="J12" s="4"/>
      <c r="K12" s="2"/>
      <c r="L12" s="2"/>
      <c r="M12" s="2"/>
      <c r="N12" s="2" t="s">
        <v>22</v>
      </c>
      <c r="O12" s="2" t="s">
        <v>45</v>
      </c>
      <c r="P12" s="2">
        <f ca="1">IF(표3[[#This Row],[고용일]]="","",(IF(표3[[#This Row],[퇴직일]]="",$Q$2-표3[[#This Row],[고용일]],표3[[#This Row],[퇴직일]]-표3[[#This Row],[고용일]])))</f>
        <v>3583</v>
      </c>
      <c r="Q12" s="2"/>
      <c r="R12" s="2"/>
    </row>
    <row r="13" spans="1:18" ht="16.5" customHeight="1" x14ac:dyDescent="0.3">
      <c r="A13" s="13">
        <v>9</v>
      </c>
      <c r="B13" s="14" t="s">
        <v>150</v>
      </c>
      <c r="C13" s="13" t="s">
        <v>21</v>
      </c>
      <c r="D13" s="15">
        <v>24388</v>
      </c>
      <c r="E13" s="16" t="s">
        <v>61</v>
      </c>
      <c r="F13" s="17" t="s">
        <v>151</v>
      </c>
      <c r="G13" s="14" t="s">
        <v>152</v>
      </c>
      <c r="H13" s="2" t="s">
        <v>25</v>
      </c>
      <c r="I13" s="2" t="s">
        <v>16</v>
      </c>
      <c r="J13" s="4"/>
      <c r="K13" s="2"/>
      <c r="L13" s="2"/>
      <c r="M13" s="2"/>
      <c r="N13" s="2" t="s">
        <v>22</v>
      </c>
      <c r="O13" s="2" t="s">
        <v>46</v>
      </c>
      <c r="P13" s="2">
        <f ca="1">IF(표3[[#This Row],[고용일]]="","",(IF(표3[[#This Row],[퇴직일]]="",$Q$2-표3[[#This Row],[고용일]],표3[[#This Row],[퇴직일]]-표3[[#This Row],[고용일]])))</f>
        <v>661</v>
      </c>
      <c r="Q13" s="2"/>
      <c r="R13" s="2"/>
    </row>
    <row r="14" spans="1:18" ht="16.5" customHeight="1" x14ac:dyDescent="0.3">
      <c r="A14" s="13">
        <v>10</v>
      </c>
      <c r="B14" s="14" t="s">
        <v>153</v>
      </c>
      <c r="C14" s="13" t="s">
        <v>21</v>
      </c>
      <c r="D14" s="15">
        <v>32539</v>
      </c>
      <c r="E14" s="16" t="s">
        <v>52</v>
      </c>
      <c r="F14" s="17" t="s">
        <v>154</v>
      </c>
      <c r="G14" s="14" t="s">
        <v>155</v>
      </c>
      <c r="H14" s="2" t="s">
        <v>25</v>
      </c>
      <c r="I14" s="2" t="s">
        <v>16</v>
      </c>
      <c r="J14" s="4"/>
      <c r="K14" s="2"/>
      <c r="L14" s="2" t="s">
        <v>29</v>
      </c>
      <c r="M14" s="2"/>
      <c r="N14" s="2" t="s">
        <v>22</v>
      </c>
      <c r="O14" s="2" t="s">
        <v>40</v>
      </c>
      <c r="P14" s="2">
        <f>IF(표3[[#This Row],[고용일]]="","",(IF(표3[[#This Row],[퇴직일]]="",$Q$2-표3[[#This Row],[고용일]],표3[[#This Row],[퇴직일]]-표3[[#This Row],[고용일]])))</f>
        <v>407</v>
      </c>
      <c r="Q14" s="2" t="s">
        <v>124</v>
      </c>
      <c r="R14" s="2"/>
    </row>
    <row r="15" spans="1:18" ht="16.5" customHeight="1" x14ac:dyDescent="0.3">
      <c r="A15" s="13">
        <v>11</v>
      </c>
      <c r="B15" s="14" t="s">
        <v>156</v>
      </c>
      <c r="C15" s="13" t="s">
        <v>21</v>
      </c>
      <c r="D15" s="15">
        <v>34178</v>
      </c>
      <c r="E15" s="16" t="s">
        <v>62</v>
      </c>
      <c r="F15" s="17" t="s">
        <v>157</v>
      </c>
      <c r="G15" s="14" t="s">
        <v>158</v>
      </c>
      <c r="H15" s="2" t="s">
        <v>25</v>
      </c>
      <c r="I15" s="2" t="s">
        <v>16</v>
      </c>
      <c r="J15" s="4"/>
      <c r="K15" s="2"/>
      <c r="L15" s="2"/>
      <c r="M15" s="2"/>
      <c r="N15" s="2" t="s">
        <v>22</v>
      </c>
      <c r="O15" s="2" t="s">
        <v>102</v>
      </c>
      <c r="P15" s="2">
        <f ca="1">IF(표3[[#This Row],[고용일]]="","",(IF(표3[[#This Row],[퇴직일]]="",$Q$2-표3[[#This Row],[고용일]],표3[[#This Row],[퇴직일]]-표3[[#This Row],[고용일]])))</f>
        <v>2128</v>
      </c>
      <c r="Q15" s="2"/>
      <c r="R15" s="2"/>
    </row>
    <row r="16" spans="1:18" ht="16.5" customHeight="1" x14ac:dyDescent="0.3">
      <c r="A16" s="13">
        <v>12</v>
      </c>
      <c r="B16" s="14" t="s">
        <v>159</v>
      </c>
      <c r="C16" s="13" t="s">
        <v>21</v>
      </c>
      <c r="D16" s="15">
        <v>29449</v>
      </c>
      <c r="E16" s="16" t="s">
        <v>63</v>
      </c>
      <c r="F16" s="17" t="s">
        <v>160</v>
      </c>
      <c r="G16" s="14" t="s">
        <v>161</v>
      </c>
      <c r="H16" s="2" t="s">
        <v>25</v>
      </c>
      <c r="I16" s="2" t="s">
        <v>16</v>
      </c>
      <c r="J16" s="4"/>
      <c r="K16" s="2"/>
      <c r="L16" s="2" t="s">
        <v>30</v>
      </c>
      <c r="M16" s="2"/>
      <c r="N16" s="2" t="s">
        <v>22</v>
      </c>
      <c r="O16" s="2" t="s">
        <v>45</v>
      </c>
      <c r="P16" s="2">
        <f>IF(표3[[#This Row],[고용일]]="","",(IF(표3[[#This Row],[퇴직일]]="",$Q$2-표3[[#This Row],[고용일]],표3[[#This Row],[퇴직일]]-표3[[#This Row],[고용일]])))</f>
        <v>8</v>
      </c>
      <c r="Q16" s="2" t="s">
        <v>124</v>
      </c>
      <c r="R16" s="2"/>
    </row>
    <row r="17" spans="1:18" ht="16.5" customHeight="1" x14ac:dyDescent="0.3">
      <c r="A17" s="13">
        <v>13</v>
      </c>
      <c r="B17" s="14" t="s">
        <v>162</v>
      </c>
      <c r="C17" s="13" t="s">
        <v>21</v>
      </c>
      <c r="D17" s="15">
        <v>34775</v>
      </c>
      <c r="E17" s="16" t="s">
        <v>64</v>
      </c>
      <c r="F17" s="17" t="s">
        <v>163</v>
      </c>
      <c r="G17" s="14" t="s">
        <v>164</v>
      </c>
      <c r="H17" s="2" t="s">
        <v>25</v>
      </c>
      <c r="I17" s="2" t="s">
        <v>16</v>
      </c>
      <c r="J17" s="4"/>
      <c r="K17" s="2"/>
      <c r="L17" s="2" t="s">
        <v>31</v>
      </c>
      <c r="M17" s="2"/>
      <c r="N17" s="2" t="s">
        <v>22</v>
      </c>
      <c r="O17" s="2" t="s">
        <v>40</v>
      </c>
      <c r="P17" s="2">
        <f>IF(표3[[#This Row],[고용일]]="","",(IF(표3[[#This Row],[퇴직일]]="",$Q$2-표3[[#This Row],[고용일]],표3[[#This Row],[퇴직일]]-표3[[#This Row],[고용일]])))</f>
        <v>918</v>
      </c>
      <c r="Q17" s="2" t="s">
        <v>124</v>
      </c>
      <c r="R17" s="2"/>
    </row>
    <row r="18" spans="1:18" ht="16.5" customHeight="1" x14ac:dyDescent="0.3">
      <c r="A18" s="13">
        <v>14</v>
      </c>
      <c r="B18" s="14" t="s">
        <v>165</v>
      </c>
      <c r="C18" s="13" t="s">
        <v>21</v>
      </c>
      <c r="D18" s="15">
        <v>35522</v>
      </c>
      <c r="E18" s="16" t="s">
        <v>65</v>
      </c>
      <c r="F18" s="17" t="s">
        <v>166</v>
      </c>
      <c r="G18" s="14" t="s">
        <v>167</v>
      </c>
      <c r="H18" s="2" t="s">
        <v>25</v>
      </c>
      <c r="I18" s="2" t="s">
        <v>16</v>
      </c>
      <c r="J18" s="4"/>
      <c r="K18" s="2"/>
      <c r="L18" s="2" t="s">
        <v>28</v>
      </c>
      <c r="M18" s="2"/>
      <c r="N18" s="2" t="s">
        <v>22</v>
      </c>
      <c r="O18" s="2" t="s">
        <v>45</v>
      </c>
      <c r="P18" s="2">
        <f>IF(표3[[#This Row],[고용일]]="","",(IF(표3[[#This Row],[퇴직일]]="",$Q$2-표3[[#This Row],[고용일]],표3[[#This Row],[퇴직일]]-표3[[#This Row],[고용일]])))</f>
        <v>606</v>
      </c>
      <c r="Q18" s="2" t="s">
        <v>124</v>
      </c>
      <c r="R18" s="2"/>
    </row>
    <row r="19" spans="1:18" ht="16.5" customHeight="1" x14ac:dyDescent="0.3">
      <c r="A19" s="13">
        <v>15</v>
      </c>
      <c r="B19" s="14" t="s">
        <v>168</v>
      </c>
      <c r="C19" s="13" t="s">
        <v>21</v>
      </c>
      <c r="D19" s="15">
        <v>34554</v>
      </c>
      <c r="E19" s="16" t="s">
        <v>66</v>
      </c>
      <c r="F19" s="17" t="s">
        <v>169</v>
      </c>
      <c r="G19" s="14" t="s">
        <v>170</v>
      </c>
      <c r="H19" s="2" t="s">
        <v>25</v>
      </c>
      <c r="I19" s="2" t="s">
        <v>16</v>
      </c>
      <c r="J19" s="4"/>
      <c r="K19" s="2"/>
      <c r="L19" s="2" t="s">
        <v>32</v>
      </c>
      <c r="M19" s="2"/>
      <c r="N19" s="2" t="s">
        <v>22</v>
      </c>
      <c r="O19" s="2" t="s">
        <v>45</v>
      </c>
      <c r="P19" s="2">
        <f>IF(표3[[#This Row],[고용일]]="","",(IF(표3[[#This Row],[퇴직일]]="",$Q$2-표3[[#This Row],[고용일]],표3[[#This Row],[퇴직일]]-표3[[#This Row],[고용일]])))</f>
        <v>728</v>
      </c>
      <c r="Q19" s="2" t="s">
        <v>124</v>
      </c>
      <c r="R19" s="2"/>
    </row>
    <row r="20" spans="1:18" ht="16.5" customHeight="1" x14ac:dyDescent="0.3">
      <c r="A20" s="13">
        <v>16</v>
      </c>
      <c r="B20" s="14" t="s">
        <v>171</v>
      </c>
      <c r="C20" s="13" t="s">
        <v>21</v>
      </c>
      <c r="D20" s="15">
        <v>33328</v>
      </c>
      <c r="E20" s="16" t="s">
        <v>67</v>
      </c>
      <c r="F20" s="17" t="s">
        <v>172</v>
      </c>
      <c r="G20" s="14" t="s">
        <v>173</v>
      </c>
      <c r="H20" s="2" t="s">
        <v>25</v>
      </c>
      <c r="I20" s="2" t="s">
        <v>16</v>
      </c>
      <c r="J20" s="4"/>
      <c r="K20" s="2"/>
      <c r="L20" s="2"/>
      <c r="M20" s="2"/>
      <c r="N20" s="2" t="s">
        <v>22</v>
      </c>
      <c r="O20" s="2" t="s">
        <v>44</v>
      </c>
      <c r="P20" s="2">
        <f ca="1">IF(표3[[#This Row],[고용일]]="","",(IF(표3[[#This Row],[퇴직일]]="",$Q$2-표3[[#This Row],[고용일]],표3[[#This Row],[퇴직일]]-표3[[#This Row],[고용일]])))</f>
        <v>372</v>
      </c>
      <c r="Q20" s="2"/>
      <c r="R20" s="2"/>
    </row>
    <row r="21" spans="1:18" ht="16.5" customHeight="1" x14ac:dyDescent="0.3">
      <c r="A21" s="13">
        <v>17</v>
      </c>
      <c r="B21" s="14" t="s">
        <v>174</v>
      </c>
      <c r="C21" s="13" t="s">
        <v>24</v>
      </c>
      <c r="D21" s="15">
        <v>26305</v>
      </c>
      <c r="E21" s="16" t="s">
        <v>68</v>
      </c>
      <c r="F21" s="17" t="s">
        <v>175</v>
      </c>
      <c r="G21" s="14" t="s">
        <v>176</v>
      </c>
      <c r="H21" s="2" t="s">
        <v>25</v>
      </c>
      <c r="I21" s="2" t="s">
        <v>16</v>
      </c>
      <c r="J21" s="4"/>
      <c r="K21" s="2"/>
      <c r="L21" s="2"/>
      <c r="M21" s="2"/>
      <c r="N21" s="2" t="s">
        <v>22</v>
      </c>
      <c r="O21" s="2" t="s">
        <v>43</v>
      </c>
      <c r="P21" s="2">
        <f ca="1">IF(표3[[#This Row],[고용일]]="","",(IF(표3[[#This Row],[퇴직일]]="",$Q$2-표3[[#This Row],[고용일]],표3[[#This Row],[퇴직일]]-표3[[#This Row],[고용일]])))</f>
        <v>9387</v>
      </c>
      <c r="Q21" s="2"/>
      <c r="R21" s="2"/>
    </row>
    <row r="22" spans="1:18" ht="16.5" customHeight="1" x14ac:dyDescent="0.3">
      <c r="A22" s="13">
        <v>18</v>
      </c>
      <c r="B22" s="14" t="s">
        <v>177</v>
      </c>
      <c r="C22" s="13" t="s">
        <v>21</v>
      </c>
      <c r="D22" s="15">
        <v>32764</v>
      </c>
      <c r="E22" s="16" t="s">
        <v>69</v>
      </c>
      <c r="F22" s="17" t="s">
        <v>178</v>
      </c>
      <c r="G22" s="14" t="s">
        <v>137</v>
      </c>
      <c r="H22" s="2" t="s">
        <v>25</v>
      </c>
      <c r="I22" s="2" t="s">
        <v>16</v>
      </c>
      <c r="J22" s="4"/>
      <c r="K22" s="2"/>
      <c r="L22" s="2" t="s">
        <v>33</v>
      </c>
      <c r="M22" s="2"/>
      <c r="N22" s="2" t="s">
        <v>22</v>
      </c>
      <c r="O22" s="2" t="s">
        <v>44</v>
      </c>
      <c r="P22" s="2">
        <f>IF(표3[[#This Row],[고용일]]="","",(IF(표3[[#This Row],[퇴직일]]="",$Q$2-표3[[#This Row],[고용일]],표3[[#This Row],[퇴직일]]-표3[[#This Row],[고용일]])))</f>
        <v>57</v>
      </c>
      <c r="Q22" s="2" t="s">
        <v>124</v>
      </c>
      <c r="R22" s="2"/>
    </row>
    <row r="23" spans="1:18" ht="16.5" customHeight="1" x14ac:dyDescent="0.3">
      <c r="A23" s="13">
        <v>19</v>
      </c>
      <c r="B23" s="14" t="s">
        <v>179</v>
      </c>
      <c r="C23" s="13" t="s">
        <v>21</v>
      </c>
      <c r="D23" s="15">
        <v>27194</v>
      </c>
      <c r="E23" s="16" t="s">
        <v>70</v>
      </c>
      <c r="F23" s="17" t="s">
        <v>180</v>
      </c>
      <c r="G23" s="14" t="s">
        <v>181</v>
      </c>
      <c r="H23" s="2" t="s">
        <v>25</v>
      </c>
      <c r="I23" s="2" t="s">
        <v>16</v>
      </c>
      <c r="J23" s="4"/>
      <c r="K23" s="2"/>
      <c r="L23" s="2" t="s">
        <v>34</v>
      </c>
      <c r="M23" s="2"/>
      <c r="N23" s="2" t="s">
        <v>22</v>
      </c>
      <c r="O23" s="2" t="s">
        <v>45</v>
      </c>
      <c r="P23" s="2">
        <f>IF(표3[[#This Row],[고용일]]="","",(IF(표3[[#This Row],[퇴직일]]="",$Q$2-표3[[#This Row],[고용일]],표3[[#This Row],[퇴직일]]-표3[[#This Row],[고용일]])))</f>
        <v>3466</v>
      </c>
      <c r="Q23" s="2" t="s">
        <v>124</v>
      </c>
      <c r="R23" s="2"/>
    </row>
    <row r="24" spans="1:18" ht="16.5" customHeight="1" x14ac:dyDescent="0.3">
      <c r="A24" s="13">
        <v>20</v>
      </c>
      <c r="B24" s="14" t="s">
        <v>182</v>
      </c>
      <c r="C24" s="13" t="s">
        <v>21</v>
      </c>
      <c r="D24" s="15">
        <v>32564</v>
      </c>
      <c r="E24" s="16" t="s">
        <v>71</v>
      </c>
      <c r="F24" s="17" t="s">
        <v>183</v>
      </c>
      <c r="G24" s="14" t="s">
        <v>184</v>
      </c>
      <c r="H24" s="2" t="s">
        <v>25</v>
      </c>
      <c r="I24" s="2" t="s">
        <v>16</v>
      </c>
      <c r="J24" s="4"/>
      <c r="K24" s="2"/>
      <c r="L24" s="2"/>
      <c r="M24" s="2"/>
      <c r="N24" s="2" t="s">
        <v>22</v>
      </c>
      <c r="O24" s="2" t="s">
        <v>45</v>
      </c>
      <c r="P24" s="2">
        <f ca="1">IF(표3[[#This Row],[고용일]]="","",(IF(표3[[#This Row],[퇴직일]]="",$Q$2-표3[[#This Row],[고용일]],표3[[#This Row],[퇴직일]]-표3[[#This Row],[고용일]])))</f>
        <v>3764</v>
      </c>
      <c r="Q24" s="2"/>
      <c r="R24" s="2"/>
    </row>
    <row r="25" spans="1:18" ht="16.5" customHeight="1" x14ac:dyDescent="0.3">
      <c r="A25" s="13">
        <v>21</v>
      </c>
      <c r="B25" s="14" t="s">
        <v>185</v>
      </c>
      <c r="C25" s="13" t="s">
        <v>21</v>
      </c>
      <c r="D25" s="15">
        <v>30730</v>
      </c>
      <c r="E25" s="16" t="s">
        <v>72</v>
      </c>
      <c r="F25" s="17" t="s">
        <v>186</v>
      </c>
      <c r="G25" s="14" t="s">
        <v>187</v>
      </c>
      <c r="H25" s="2" t="s">
        <v>25</v>
      </c>
      <c r="I25" s="2" t="s">
        <v>16</v>
      </c>
      <c r="J25" s="4"/>
      <c r="K25" s="2"/>
      <c r="L25" s="2"/>
      <c r="M25" s="2"/>
      <c r="N25" s="2" t="s">
        <v>22</v>
      </c>
      <c r="O25" s="2" t="s">
        <v>42</v>
      </c>
      <c r="P25" s="2">
        <f ca="1">IF(표3[[#This Row],[고용일]]="","",(IF(표3[[#This Row],[퇴직일]]="",$Q$2-표3[[#This Row],[고용일]],표3[[#This Row],[퇴직일]]-표3[[#This Row],[고용일]])))</f>
        <v>4525</v>
      </c>
      <c r="Q25" s="2"/>
      <c r="R25" s="2"/>
    </row>
    <row r="26" spans="1:18" ht="16.5" customHeight="1" x14ac:dyDescent="0.3">
      <c r="A26" s="13">
        <v>22</v>
      </c>
      <c r="B26" s="14" t="s">
        <v>188</v>
      </c>
      <c r="C26" s="13" t="s">
        <v>21</v>
      </c>
      <c r="D26" s="15">
        <v>27820</v>
      </c>
      <c r="E26" s="16" t="s">
        <v>73</v>
      </c>
      <c r="F26" s="17" t="s">
        <v>189</v>
      </c>
      <c r="G26" s="14" t="s">
        <v>190</v>
      </c>
      <c r="H26" s="2" t="s">
        <v>25</v>
      </c>
      <c r="I26" s="2" t="s">
        <v>16</v>
      </c>
      <c r="J26" s="4"/>
      <c r="K26" s="2"/>
      <c r="L26" s="2"/>
      <c r="M26" s="2"/>
      <c r="N26" s="2" t="s">
        <v>22</v>
      </c>
      <c r="O26" s="2" t="s">
        <v>45</v>
      </c>
      <c r="P26" s="2">
        <f ca="1">IF(표3[[#This Row],[고용일]]="","",(IF(표3[[#This Row],[퇴직일]]="",$Q$2-표3[[#This Row],[고용일]],표3[[#This Row],[퇴직일]]-표3[[#This Row],[고용일]])))</f>
        <v>3697</v>
      </c>
      <c r="Q26" s="2"/>
      <c r="R26" s="2"/>
    </row>
    <row r="27" spans="1:18" ht="16.5" customHeight="1" x14ac:dyDescent="0.3">
      <c r="A27" s="13">
        <v>23</v>
      </c>
      <c r="B27" s="14" t="s">
        <v>191</v>
      </c>
      <c r="C27" s="13" t="s">
        <v>21</v>
      </c>
      <c r="D27" s="15">
        <v>25632</v>
      </c>
      <c r="E27" s="16" t="s">
        <v>74</v>
      </c>
      <c r="F27" s="17" t="s">
        <v>125</v>
      </c>
      <c r="G27" s="14" t="s">
        <v>192</v>
      </c>
      <c r="H27" s="2" t="s">
        <v>25</v>
      </c>
      <c r="I27" s="2" t="s">
        <v>16</v>
      </c>
      <c r="J27" s="4"/>
      <c r="K27" s="2"/>
      <c r="L27" s="2"/>
      <c r="M27" s="2"/>
      <c r="N27" s="2" t="s">
        <v>22</v>
      </c>
      <c r="O27" s="2" t="s">
        <v>46</v>
      </c>
      <c r="P27" s="2">
        <f ca="1">IF(표3[[#This Row],[고용일]]="","",(IF(표3[[#This Row],[퇴직일]]="",$Q$2-표3[[#This Row],[고용일]],표3[[#This Row],[퇴직일]]-표3[[#This Row],[고용일]])))</f>
        <v>2059</v>
      </c>
      <c r="Q27" s="2"/>
      <c r="R27" s="2"/>
    </row>
    <row r="28" spans="1:18" ht="16.5" customHeight="1" x14ac:dyDescent="0.3">
      <c r="A28" s="13">
        <v>24</v>
      </c>
      <c r="B28" s="14" t="s">
        <v>193</v>
      </c>
      <c r="C28" s="13" t="s">
        <v>21</v>
      </c>
      <c r="D28" s="15">
        <v>30692</v>
      </c>
      <c r="E28" s="16" t="s">
        <v>75</v>
      </c>
      <c r="F28" s="17" t="s">
        <v>194</v>
      </c>
      <c r="G28" s="14" t="s">
        <v>195</v>
      </c>
      <c r="H28" s="2" t="s">
        <v>25</v>
      </c>
      <c r="I28" s="2" t="s">
        <v>16</v>
      </c>
      <c r="J28" s="4"/>
      <c r="K28" s="2"/>
      <c r="L28" s="2"/>
      <c r="M28" s="2"/>
      <c r="N28" s="2" t="s">
        <v>22</v>
      </c>
      <c r="O28" s="2" t="s">
        <v>47</v>
      </c>
      <c r="P28" s="2">
        <f ca="1">IF(표3[[#This Row],[고용일]]="","",(IF(표3[[#This Row],[퇴직일]]="",$Q$2-표3[[#This Row],[고용일]],표3[[#This Row],[퇴직일]]-표3[[#This Row],[고용일]])))</f>
        <v>496</v>
      </c>
      <c r="Q28" s="2"/>
      <c r="R28" s="2"/>
    </row>
    <row r="29" spans="1:18" ht="18" customHeight="1" x14ac:dyDescent="0.3">
      <c r="A29" s="13">
        <v>25</v>
      </c>
      <c r="B29" s="14" t="s">
        <v>196</v>
      </c>
      <c r="C29" s="13" t="s">
        <v>21</v>
      </c>
      <c r="D29" s="15">
        <v>36050</v>
      </c>
      <c r="E29" s="16" t="s">
        <v>76</v>
      </c>
      <c r="F29" s="17" t="s">
        <v>197</v>
      </c>
      <c r="G29" s="14" t="s">
        <v>198</v>
      </c>
      <c r="H29" s="2" t="s">
        <v>25</v>
      </c>
      <c r="I29" s="2" t="s">
        <v>16</v>
      </c>
      <c r="J29" s="4"/>
      <c r="K29" s="2"/>
      <c r="L29" s="2" t="s">
        <v>35</v>
      </c>
      <c r="M29" s="2"/>
      <c r="N29" s="2" t="s">
        <v>22</v>
      </c>
      <c r="O29" s="2" t="s">
        <v>44</v>
      </c>
      <c r="P29" s="2">
        <f>IF(표3[[#This Row],[고용일]]="","",(IF(표3[[#This Row],[퇴직일]]="",$Q$2-표3[[#This Row],[고용일]],표3[[#This Row],[퇴직일]]-표3[[#This Row],[고용일]])))</f>
        <v>150</v>
      </c>
      <c r="Q29" s="2" t="s">
        <v>124</v>
      </c>
      <c r="R29" s="2"/>
    </row>
    <row r="30" spans="1:18" x14ac:dyDescent="0.3">
      <c r="A30" s="13">
        <v>26</v>
      </c>
      <c r="B30" s="14" t="s">
        <v>199</v>
      </c>
      <c r="C30" s="13" t="s">
        <v>21</v>
      </c>
      <c r="D30" s="15">
        <v>23637</v>
      </c>
      <c r="E30" s="16" t="s">
        <v>77</v>
      </c>
      <c r="F30" s="17" t="s">
        <v>200</v>
      </c>
      <c r="G30" s="14" t="s">
        <v>201</v>
      </c>
      <c r="H30" s="2" t="s">
        <v>25</v>
      </c>
      <c r="I30" s="2" t="s">
        <v>16</v>
      </c>
      <c r="J30" s="4"/>
      <c r="K30" s="2"/>
      <c r="L30" s="2"/>
      <c r="M30" s="2"/>
      <c r="N30" s="2" t="s">
        <v>22</v>
      </c>
      <c r="O30" s="2" t="s">
        <v>48</v>
      </c>
      <c r="P30" s="2">
        <f ca="1">IF(표3[[#This Row],[고용일]]="","",(IF(표3[[#This Row],[퇴직일]]="",$Q$2-표3[[#This Row],[고용일]],표3[[#This Row],[퇴직일]]-표3[[#This Row],[고용일]])))</f>
        <v>386</v>
      </c>
      <c r="Q30" s="2"/>
      <c r="R30" s="2"/>
    </row>
    <row r="31" spans="1:18" x14ac:dyDescent="0.3">
      <c r="A31" s="13">
        <v>27</v>
      </c>
      <c r="B31" s="14" t="s">
        <v>202</v>
      </c>
      <c r="C31" s="13" t="s">
        <v>21</v>
      </c>
      <c r="D31" s="15">
        <v>32414</v>
      </c>
      <c r="E31" s="16" t="s">
        <v>78</v>
      </c>
      <c r="F31" s="17" t="s">
        <v>203</v>
      </c>
      <c r="G31" s="14" t="s">
        <v>204</v>
      </c>
      <c r="H31" s="2" t="s">
        <v>25</v>
      </c>
      <c r="I31" s="2" t="s">
        <v>16</v>
      </c>
      <c r="J31" s="4"/>
      <c r="K31" s="2"/>
      <c r="L31" s="2"/>
      <c r="M31" s="2"/>
      <c r="N31" s="2" t="s">
        <v>22</v>
      </c>
      <c r="O31" s="2" t="s">
        <v>45</v>
      </c>
      <c r="P31" s="2">
        <f ca="1">IF(표3[[#This Row],[고용일]]="","",(IF(표3[[#This Row],[퇴직일]]="",$Q$2-표3[[#This Row],[고용일]],표3[[#This Row],[퇴직일]]-표3[[#This Row],[고용일]])))</f>
        <v>350</v>
      </c>
      <c r="Q31" s="2"/>
      <c r="R31" s="2"/>
    </row>
    <row r="32" spans="1:18" x14ac:dyDescent="0.3">
      <c r="A32" s="13">
        <v>28</v>
      </c>
      <c r="B32" s="14" t="s">
        <v>205</v>
      </c>
      <c r="C32" s="13" t="s">
        <v>21</v>
      </c>
      <c r="D32" s="15">
        <v>32504</v>
      </c>
      <c r="E32" s="16" t="s">
        <v>79</v>
      </c>
      <c r="F32" s="17" t="s">
        <v>206</v>
      </c>
      <c r="G32" s="14" t="s">
        <v>207</v>
      </c>
      <c r="H32" s="2" t="s">
        <v>25</v>
      </c>
      <c r="I32" s="2" t="s">
        <v>16</v>
      </c>
      <c r="J32" s="4"/>
      <c r="K32" s="2"/>
      <c r="L32" s="2"/>
      <c r="M32" s="2"/>
      <c r="N32" s="2" t="s">
        <v>22</v>
      </c>
      <c r="O32" s="2" t="s">
        <v>45</v>
      </c>
      <c r="P32" s="2">
        <f ca="1">IF(표3[[#This Row],[고용일]]="","",(IF(표3[[#This Row],[퇴직일]]="",$Q$2-표3[[#This Row],[고용일]],표3[[#This Row],[퇴직일]]-표3[[#This Row],[고용일]])))</f>
        <v>1569</v>
      </c>
      <c r="Q32" s="2"/>
      <c r="R32" s="2"/>
    </row>
    <row r="33" spans="1:18" x14ac:dyDescent="0.3">
      <c r="A33" s="13">
        <v>29</v>
      </c>
      <c r="B33" s="14" t="s">
        <v>208</v>
      </c>
      <c r="C33" s="13" t="s">
        <v>24</v>
      </c>
      <c r="D33" s="15">
        <v>34079</v>
      </c>
      <c r="E33" s="16" t="s">
        <v>80</v>
      </c>
      <c r="F33" s="17" t="s">
        <v>209</v>
      </c>
      <c r="G33" s="14" t="s">
        <v>210</v>
      </c>
      <c r="H33" s="2" t="s">
        <v>25</v>
      </c>
      <c r="I33" s="2" t="s">
        <v>16</v>
      </c>
      <c r="J33" s="4"/>
      <c r="K33" s="2"/>
      <c r="L33" s="2"/>
      <c r="M33" s="2"/>
      <c r="N33" s="2" t="s">
        <v>22</v>
      </c>
      <c r="O33" s="2" t="s">
        <v>43</v>
      </c>
      <c r="P33" s="2">
        <f ca="1">IF(표3[[#This Row],[고용일]]="","",(IF(표3[[#This Row],[퇴직일]]="",$Q$2-표3[[#This Row],[고용일]],표3[[#This Row],[퇴직일]]-표3[[#This Row],[고용일]])))</f>
        <v>1087</v>
      </c>
      <c r="Q33" s="2"/>
      <c r="R33" s="2"/>
    </row>
    <row r="34" spans="1:18" ht="16.5" customHeight="1" x14ac:dyDescent="0.3">
      <c r="A34" s="13">
        <v>30</v>
      </c>
      <c r="B34" s="14" t="s">
        <v>211</v>
      </c>
      <c r="C34" s="13" t="s">
        <v>21</v>
      </c>
      <c r="D34" s="15">
        <v>22324</v>
      </c>
      <c r="E34" s="16" t="s">
        <v>81</v>
      </c>
      <c r="F34" s="17" t="s">
        <v>212</v>
      </c>
      <c r="G34" s="14" t="s">
        <v>213</v>
      </c>
      <c r="H34" s="2" t="s">
        <v>25</v>
      </c>
      <c r="I34" s="2" t="s">
        <v>16</v>
      </c>
      <c r="J34" s="4"/>
      <c r="K34" s="2"/>
      <c r="L34" s="2" t="s">
        <v>36</v>
      </c>
      <c r="M34" s="2"/>
      <c r="N34" s="2" t="s">
        <v>22</v>
      </c>
      <c r="O34" s="2" t="s">
        <v>48</v>
      </c>
      <c r="P34" s="2">
        <f>IF(표3[[#This Row],[고용일]]="","",(IF(표3[[#This Row],[퇴직일]]="",$Q$2-표3[[#This Row],[고용일]],표3[[#This Row],[퇴직일]]-표3[[#This Row],[고용일]])))</f>
        <v>3802</v>
      </c>
      <c r="Q34" s="2" t="s">
        <v>124</v>
      </c>
      <c r="R34" s="2"/>
    </row>
    <row r="35" spans="1:18" x14ac:dyDescent="0.3">
      <c r="A35" s="13">
        <v>31</v>
      </c>
      <c r="B35" s="14" t="s">
        <v>214</v>
      </c>
      <c r="C35" s="13" t="s">
        <v>21</v>
      </c>
      <c r="D35" s="15">
        <v>29098</v>
      </c>
      <c r="E35" s="16" t="s">
        <v>82</v>
      </c>
      <c r="F35" s="17" t="s">
        <v>215</v>
      </c>
      <c r="G35" s="14" t="s">
        <v>216</v>
      </c>
      <c r="H35" s="2" t="s">
        <v>25</v>
      </c>
      <c r="I35" s="2" t="s">
        <v>16</v>
      </c>
      <c r="J35" s="4"/>
      <c r="K35" s="2"/>
      <c r="L35" s="2"/>
      <c r="M35" s="2"/>
      <c r="N35" s="2" t="s">
        <v>22</v>
      </c>
      <c r="O35" s="2" t="s">
        <v>49</v>
      </c>
      <c r="P35" s="2">
        <f ca="1">IF(표3[[#This Row],[고용일]]="","",(IF(표3[[#This Row],[퇴직일]]="",$Q$2-표3[[#This Row],[고용일]],표3[[#This Row],[퇴직일]]-표3[[#This Row],[고용일]])))</f>
        <v>1764</v>
      </c>
      <c r="Q35" s="2"/>
      <c r="R35" s="2"/>
    </row>
    <row r="36" spans="1:18" x14ac:dyDescent="0.3">
      <c r="A36" s="13">
        <v>32</v>
      </c>
      <c r="B36" s="14" t="s">
        <v>217</v>
      </c>
      <c r="C36" s="13" t="s">
        <v>21</v>
      </c>
      <c r="D36" s="15">
        <v>30689</v>
      </c>
      <c r="E36" s="16" t="s">
        <v>83</v>
      </c>
      <c r="F36" s="17" t="s">
        <v>218</v>
      </c>
      <c r="G36" s="14" t="s">
        <v>219</v>
      </c>
      <c r="H36" s="2" t="s">
        <v>25</v>
      </c>
      <c r="I36" s="2" t="s">
        <v>16</v>
      </c>
      <c r="J36" s="4"/>
      <c r="K36" s="2"/>
      <c r="L36" s="2"/>
      <c r="M36" s="2"/>
      <c r="N36" s="2" t="s">
        <v>22</v>
      </c>
      <c r="O36" s="2" t="s">
        <v>44</v>
      </c>
      <c r="P36" s="2">
        <f ca="1">IF(표3[[#This Row],[고용일]]="","",(IF(표3[[#This Row],[퇴직일]]="",$Q$2-표3[[#This Row],[고용일]],표3[[#This Row],[퇴직일]]-표3[[#This Row],[고용일]])))</f>
        <v>369</v>
      </c>
      <c r="Q36" s="2"/>
      <c r="R36" s="2"/>
    </row>
    <row r="37" spans="1:18" ht="16.5" customHeight="1" x14ac:dyDescent="0.3">
      <c r="A37" s="13">
        <v>33</v>
      </c>
      <c r="B37" s="14" t="s">
        <v>220</v>
      </c>
      <c r="C37" s="13" t="s">
        <v>24</v>
      </c>
      <c r="D37" s="15">
        <v>35159</v>
      </c>
      <c r="E37" s="16" t="s">
        <v>84</v>
      </c>
      <c r="F37" s="17" t="s">
        <v>221</v>
      </c>
      <c r="G37" s="14" t="s">
        <v>222</v>
      </c>
      <c r="H37" s="2" t="s">
        <v>25</v>
      </c>
      <c r="I37" s="2" t="s">
        <v>16</v>
      </c>
      <c r="J37" s="4"/>
      <c r="K37" s="2"/>
      <c r="L37" s="2" t="s">
        <v>37</v>
      </c>
      <c r="M37" s="2"/>
      <c r="N37" s="2" t="s">
        <v>22</v>
      </c>
      <c r="O37" s="2" t="s">
        <v>41</v>
      </c>
      <c r="P37" s="2">
        <f>IF(표3[[#This Row],[고용일]]="","",(IF(표3[[#This Row],[퇴직일]]="",$Q$2-표3[[#This Row],[고용일]],표3[[#This Row],[퇴직일]]-표3[[#This Row],[고용일]])))</f>
        <v>60</v>
      </c>
      <c r="Q37" s="2" t="s">
        <v>124</v>
      </c>
      <c r="R37" s="2"/>
    </row>
    <row r="38" spans="1:18" ht="16.5" customHeight="1" x14ac:dyDescent="0.3">
      <c r="A38" s="13">
        <v>34</v>
      </c>
      <c r="B38" s="14" t="s">
        <v>223</v>
      </c>
      <c r="C38" s="13" t="s">
        <v>21</v>
      </c>
      <c r="D38" s="15">
        <v>28907</v>
      </c>
      <c r="E38" s="16" t="s">
        <v>85</v>
      </c>
      <c r="F38" s="17" t="s">
        <v>224</v>
      </c>
      <c r="G38" s="14" t="s">
        <v>225</v>
      </c>
      <c r="H38" s="2" t="s">
        <v>25</v>
      </c>
      <c r="I38" s="2" t="s">
        <v>16</v>
      </c>
      <c r="J38" s="4"/>
      <c r="K38" s="2"/>
      <c r="L38" s="2" t="s">
        <v>38</v>
      </c>
      <c r="M38" s="2"/>
      <c r="N38" s="2" t="s">
        <v>22</v>
      </c>
      <c r="O38" s="2" t="s">
        <v>49</v>
      </c>
      <c r="P38" s="2">
        <f>IF(표3[[#This Row],[고용일]]="","",(IF(표3[[#This Row],[퇴직일]]="",$Q$2-표3[[#This Row],[고용일]],표3[[#This Row],[퇴직일]]-표3[[#This Row],[고용일]])))</f>
        <v>177</v>
      </c>
      <c r="Q38" s="2" t="s">
        <v>124</v>
      </c>
      <c r="R38" s="2"/>
    </row>
    <row r="39" spans="1:18" x14ac:dyDescent="0.3">
      <c r="A39" s="13">
        <v>35</v>
      </c>
      <c r="B39" s="14" t="s">
        <v>226</v>
      </c>
      <c r="C39" s="13" t="s">
        <v>21</v>
      </c>
      <c r="D39" s="15">
        <v>31390</v>
      </c>
      <c r="E39" s="16" t="s">
        <v>86</v>
      </c>
      <c r="F39" s="17" t="s">
        <v>227</v>
      </c>
      <c r="G39" s="14" t="s">
        <v>228</v>
      </c>
      <c r="H39" s="2" t="s">
        <v>25</v>
      </c>
      <c r="I39" s="2" t="s">
        <v>16</v>
      </c>
      <c r="J39" s="4"/>
      <c r="K39" s="2"/>
      <c r="L39" s="2"/>
      <c r="M39" s="2"/>
      <c r="N39" s="2" t="s">
        <v>22</v>
      </c>
      <c r="O39" s="2" t="s">
        <v>45</v>
      </c>
      <c r="P39" s="2">
        <f ca="1">IF(표3[[#This Row],[고용일]]="","",(IF(표3[[#This Row],[퇴직일]]="",$Q$2-표3[[#This Row],[고용일]],표3[[#This Row],[퇴직일]]-표3[[#This Row],[고용일]])))</f>
        <v>1114</v>
      </c>
      <c r="Q39" s="2"/>
      <c r="R39" s="2"/>
    </row>
    <row r="40" spans="1:18" x14ac:dyDescent="0.3">
      <c r="A40" s="13">
        <v>36</v>
      </c>
      <c r="B40" s="14" t="s">
        <v>229</v>
      </c>
      <c r="C40" s="13" t="s">
        <v>21</v>
      </c>
      <c r="D40" s="15">
        <v>29075</v>
      </c>
      <c r="E40" s="16" t="s">
        <v>87</v>
      </c>
      <c r="F40" s="17" t="s">
        <v>230</v>
      </c>
      <c r="G40" s="14" t="s">
        <v>231</v>
      </c>
      <c r="H40" s="2" t="s">
        <v>25</v>
      </c>
      <c r="I40" s="2" t="s">
        <v>16</v>
      </c>
      <c r="J40" s="4"/>
      <c r="K40" s="2"/>
      <c r="L40" s="2"/>
      <c r="M40" s="2"/>
      <c r="N40" s="2" t="s">
        <v>22</v>
      </c>
      <c r="O40" s="2" t="s">
        <v>41</v>
      </c>
      <c r="P40" s="2">
        <f ca="1">IF(표3[[#This Row],[고용일]]="","",(IF(표3[[#This Row],[퇴직일]]="",$Q$2-표3[[#This Row],[고용일]],표3[[#This Row],[퇴직일]]-표3[[#This Row],[고용일]])))</f>
        <v>1117</v>
      </c>
      <c r="Q40" s="2"/>
      <c r="R40" s="2"/>
    </row>
    <row r="41" spans="1:18" x14ac:dyDescent="0.3">
      <c r="A41" s="13">
        <v>37</v>
      </c>
      <c r="B41" s="14" t="s">
        <v>232</v>
      </c>
      <c r="C41" s="13" t="s">
        <v>21</v>
      </c>
      <c r="D41" s="15">
        <v>21779</v>
      </c>
      <c r="E41" s="16" t="s">
        <v>88</v>
      </c>
      <c r="F41" s="17" t="s">
        <v>233</v>
      </c>
      <c r="G41" s="14" t="s">
        <v>234</v>
      </c>
      <c r="H41" s="2" t="s">
        <v>25</v>
      </c>
      <c r="I41" s="2" t="s">
        <v>16</v>
      </c>
      <c r="J41" s="4"/>
      <c r="K41" s="2"/>
      <c r="L41" s="2"/>
      <c r="M41" s="2"/>
      <c r="N41" s="2" t="s">
        <v>22</v>
      </c>
      <c r="O41" s="2" t="s">
        <v>50</v>
      </c>
      <c r="P41" s="2">
        <f ca="1">IF(표3[[#This Row],[고용일]]="","",(IF(표3[[#This Row],[퇴직일]]="",$Q$2-표3[[#This Row],[고용일]],표3[[#This Row],[퇴직일]]-표3[[#This Row],[고용일]])))</f>
        <v>1421</v>
      </c>
      <c r="Q41" s="2"/>
      <c r="R41" s="2"/>
    </row>
    <row r="42" spans="1:18" x14ac:dyDescent="0.3">
      <c r="A42" s="13">
        <v>38</v>
      </c>
      <c r="B42" s="14" t="s">
        <v>235</v>
      </c>
      <c r="C42" s="13" t="s">
        <v>21</v>
      </c>
      <c r="D42" s="15">
        <v>25222</v>
      </c>
      <c r="E42" s="16" t="s">
        <v>89</v>
      </c>
      <c r="F42" s="17" t="s">
        <v>236</v>
      </c>
      <c r="G42" s="14" t="s">
        <v>237</v>
      </c>
      <c r="H42" s="2" t="s">
        <v>25</v>
      </c>
      <c r="I42" s="2" t="s">
        <v>16</v>
      </c>
      <c r="J42" s="4"/>
      <c r="K42" s="2"/>
      <c r="L42" s="2"/>
      <c r="M42" s="2"/>
      <c r="N42" s="2" t="s">
        <v>22</v>
      </c>
      <c r="O42" s="2" t="s">
        <v>46</v>
      </c>
      <c r="P42" s="2">
        <f ca="1">IF(표3[[#This Row],[고용일]]="","",(IF(표3[[#This Row],[퇴직일]]="",$Q$2-표3[[#This Row],[고용일]],표3[[#This Row],[퇴직일]]-표3[[#This Row],[고용일]])))</f>
        <v>599</v>
      </c>
      <c r="Q42" s="2"/>
      <c r="R42" s="2"/>
    </row>
    <row r="43" spans="1:18" x14ac:dyDescent="0.3">
      <c r="A43" s="13">
        <v>39</v>
      </c>
      <c r="B43" s="14" t="s">
        <v>238</v>
      </c>
      <c r="C43" s="13" t="s">
        <v>21</v>
      </c>
      <c r="D43" s="15">
        <v>21996</v>
      </c>
      <c r="E43" s="16" t="s">
        <v>90</v>
      </c>
      <c r="F43" s="17" t="s">
        <v>239</v>
      </c>
      <c r="G43" s="14" t="s">
        <v>240</v>
      </c>
      <c r="H43" s="2" t="s">
        <v>25</v>
      </c>
      <c r="I43" s="2" t="s">
        <v>16</v>
      </c>
      <c r="J43" s="4"/>
      <c r="K43" s="2"/>
      <c r="L43" s="2"/>
      <c r="M43" s="2"/>
      <c r="N43" s="2" t="s">
        <v>22</v>
      </c>
      <c r="O43" s="2" t="s">
        <v>41</v>
      </c>
      <c r="P43" s="2">
        <f ca="1">IF(표3[[#This Row],[고용일]]="","",(IF(표3[[#This Row],[퇴직일]]="",$Q$2-표3[[#This Row],[고용일]],표3[[#This Row],[퇴직일]]-표3[[#This Row],[고용일]])))</f>
        <v>1526</v>
      </c>
      <c r="Q43" s="2"/>
      <c r="R43" s="2"/>
    </row>
    <row r="44" spans="1:18" x14ac:dyDescent="0.3">
      <c r="A44" s="13">
        <v>40</v>
      </c>
      <c r="B44" s="14" t="s">
        <v>241</v>
      </c>
      <c r="C44" s="13" t="s">
        <v>24</v>
      </c>
      <c r="D44" s="15">
        <v>33700</v>
      </c>
      <c r="E44" s="16" t="s">
        <v>91</v>
      </c>
      <c r="F44" s="17" t="s">
        <v>242</v>
      </c>
      <c r="G44" s="14" t="s">
        <v>243</v>
      </c>
      <c r="H44" s="2" t="s">
        <v>25</v>
      </c>
      <c r="I44" s="2" t="s">
        <v>16</v>
      </c>
      <c r="J44" s="4"/>
      <c r="K44" s="2"/>
      <c r="L44" s="2"/>
      <c r="M44" s="2"/>
      <c r="N44" s="2" t="s">
        <v>22</v>
      </c>
      <c r="O44" s="2" t="s">
        <v>43</v>
      </c>
      <c r="P44" s="2">
        <f ca="1">IF(표3[[#This Row],[고용일]]="","",(IF(표3[[#This Row],[퇴직일]]="",$Q$2-표3[[#This Row],[고용일]],표3[[#This Row],[퇴직일]]-표3[[#This Row],[고용일]])))</f>
        <v>2535</v>
      </c>
      <c r="Q44" s="2"/>
      <c r="R44" s="2"/>
    </row>
    <row r="45" spans="1:18" x14ac:dyDescent="0.3">
      <c r="A45" s="13">
        <v>41</v>
      </c>
      <c r="B45" s="14" t="s">
        <v>244</v>
      </c>
      <c r="C45" s="13" t="s">
        <v>21</v>
      </c>
      <c r="D45" s="15">
        <v>34024</v>
      </c>
      <c r="E45" s="16" t="s">
        <v>92</v>
      </c>
      <c r="F45" s="17" t="s">
        <v>245</v>
      </c>
      <c r="G45" s="14" t="s">
        <v>246</v>
      </c>
      <c r="H45" s="2" t="s">
        <v>25</v>
      </c>
      <c r="I45" s="2" t="s">
        <v>16</v>
      </c>
      <c r="J45" s="4"/>
      <c r="K45" s="2"/>
      <c r="L45" s="2"/>
      <c r="M45" s="2"/>
      <c r="N45" s="2" t="s">
        <v>22</v>
      </c>
      <c r="O45" s="2" t="s">
        <v>47</v>
      </c>
      <c r="P45" s="2">
        <f ca="1">IF(표3[[#This Row],[고용일]]="","",(IF(표3[[#This Row],[퇴직일]]="",$Q$2-표3[[#This Row],[고용일]],표3[[#This Row],[퇴직일]]-표3[[#This Row],[고용일]])))</f>
        <v>1603</v>
      </c>
      <c r="Q45" s="2"/>
      <c r="R45" s="2"/>
    </row>
    <row r="46" spans="1:18" ht="18.75" customHeight="1" x14ac:dyDescent="0.3">
      <c r="A46" s="13">
        <v>42</v>
      </c>
      <c r="B46" s="14" t="s">
        <v>247</v>
      </c>
      <c r="C46" s="13" t="s">
        <v>24</v>
      </c>
      <c r="D46" s="15">
        <v>33103</v>
      </c>
      <c r="E46" s="16" t="s">
        <v>93</v>
      </c>
      <c r="F46" s="17" t="s">
        <v>248</v>
      </c>
      <c r="G46" s="14" t="s">
        <v>249</v>
      </c>
      <c r="H46" s="2" t="s">
        <v>25</v>
      </c>
      <c r="I46" s="2" t="s">
        <v>16</v>
      </c>
      <c r="J46" s="4"/>
      <c r="K46" s="2"/>
      <c r="L46" s="2" t="s">
        <v>26</v>
      </c>
      <c r="M46" s="2"/>
      <c r="N46" s="2" t="s">
        <v>22</v>
      </c>
      <c r="O46" s="2" t="s">
        <v>41</v>
      </c>
      <c r="P46" s="2">
        <f>IF(표3[[#This Row],[고용일]]="","",(IF(표3[[#This Row],[퇴직일]]="",$Q$2-표3[[#This Row],[고용일]],표3[[#This Row],[퇴직일]]-표3[[#This Row],[고용일]])))</f>
        <v>23</v>
      </c>
      <c r="Q46" s="2" t="s">
        <v>124</v>
      </c>
      <c r="R46" s="2"/>
    </row>
    <row r="47" spans="1:18" ht="15" customHeight="1" x14ac:dyDescent="0.3">
      <c r="A47" s="13">
        <v>43</v>
      </c>
      <c r="B47" s="14" t="s">
        <v>250</v>
      </c>
      <c r="C47" s="13" t="s">
        <v>21</v>
      </c>
      <c r="D47" s="15">
        <v>33927</v>
      </c>
      <c r="E47" s="16" t="s">
        <v>94</v>
      </c>
      <c r="F47" s="17" t="s">
        <v>251</v>
      </c>
      <c r="G47" s="14" t="s">
        <v>252</v>
      </c>
      <c r="H47" s="2" t="s">
        <v>25</v>
      </c>
      <c r="I47" s="2" t="s">
        <v>16</v>
      </c>
      <c r="J47" s="4"/>
      <c r="K47" s="2"/>
      <c r="L47" s="2" t="s">
        <v>39</v>
      </c>
      <c r="M47" s="2"/>
      <c r="N47" s="2" t="s">
        <v>22</v>
      </c>
      <c r="O47" s="2" t="s">
        <v>49</v>
      </c>
      <c r="P47" s="2">
        <f>IF(표3[[#This Row],[고용일]]="","",(IF(표3[[#This Row],[퇴직일]]="",$Q$2-표3[[#This Row],[고용일]],표3[[#This Row],[퇴직일]]-표3[[#This Row],[고용일]])))</f>
        <v>122</v>
      </c>
      <c r="Q47" s="2" t="s">
        <v>124</v>
      </c>
      <c r="R47" s="2"/>
    </row>
    <row r="48" spans="1:18" x14ac:dyDescent="0.3">
      <c r="A48" s="13">
        <v>44</v>
      </c>
      <c r="B48" s="14" t="s">
        <v>253</v>
      </c>
      <c r="C48" s="13" t="s">
        <v>24</v>
      </c>
      <c r="D48" s="15">
        <v>35349</v>
      </c>
      <c r="E48" s="16" t="s">
        <v>95</v>
      </c>
      <c r="F48" s="17" t="s">
        <v>254</v>
      </c>
      <c r="G48" s="14" t="s">
        <v>255</v>
      </c>
      <c r="H48" s="2" t="s">
        <v>25</v>
      </c>
      <c r="I48" s="2" t="s">
        <v>16</v>
      </c>
      <c r="J48" s="4"/>
      <c r="K48" s="2"/>
      <c r="L48" s="2"/>
      <c r="M48" s="2"/>
      <c r="N48" s="2" t="s">
        <v>22</v>
      </c>
      <c r="O48" s="2" t="s">
        <v>45</v>
      </c>
      <c r="P48" s="2">
        <f ca="1">IF(표3[[#This Row],[고용일]]="","",(IF(표3[[#This Row],[퇴직일]]="",$Q$2-표3[[#This Row],[고용일]],표3[[#This Row],[퇴직일]]-표3[[#This Row],[고용일]])))</f>
        <v>684</v>
      </c>
      <c r="Q48" s="2"/>
      <c r="R48" s="2"/>
    </row>
    <row r="49" spans="1:18" x14ac:dyDescent="0.3">
      <c r="A49" s="13">
        <v>45</v>
      </c>
      <c r="B49" s="14" t="s">
        <v>256</v>
      </c>
      <c r="C49" s="13" t="s">
        <v>21</v>
      </c>
      <c r="D49" s="15">
        <v>32360</v>
      </c>
      <c r="E49" s="16" t="s">
        <v>96</v>
      </c>
      <c r="F49" s="17" t="s">
        <v>257</v>
      </c>
      <c r="G49" s="14" t="s">
        <v>258</v>
      </c>
      <c r="H49" s="2" t="s">
        <v>25</v>
      </c>
      <c r="I49" s="2" t="s">
        <v>16</v>
      </c>
      <c r="J49" s="4"/>
      <c r="K49" s="2"/>
      <c r="L49" s="2"/>
      <c r="M49" s="2"/>
      <c r="N49" s="2" t="s">
        <v>22</v>
      </c>
      <c r="O49" s="2" t="s">
        <v>47</v>
      </c>
      <c r="P49" s="2">
        <f ca="1">IF(표3[[#This Row],[고용일]]="","",(IF(표3[[#This Row],[퇴직일]]="",$Q$2-표3[[#This Row],[고용일]],표3[[#This Row],[퇴직일]]-표3[[#This Row],[고용일]])))</f>
        <v>4159</v>
      </c>
      <c r="Q49" s="2"/>
      <c r="R49" s="2"/>
    </row>
    <row r="50" spans="1:18" x14ac:dyDescent="0.3">
      <c r="A50" s="13">
        <v>46</v>
      </c>
      <c r="B50" s="14" t="s">
        <v>97</v>
      </c>
      <c r="C50" s="13" t="s">
        <v>21</v>
      </c>
      <c r="D50" s="15">
        <v>32163</v>
      </c>
      <c r="E50" s="16" t="s">
        <v>98</v>
      </c>
      <c r="F50" s="17" t="s">
        <v>99</v>
      </c>
      <c r="G50" s="18">
        <v>45497</v>
      </c>
      <c r="H50" s="2" t="s">
        <v>25</v>
      </c>
      <c r="I50" s="2" t="s">
        <v>16</v>
      </c>
      <c r="J50" s="4"/>
      <c r="K50" s="2"/>
      <c r="L50" s="2"/>
      <c r="M50" s="2"/>
      <c r="N50" s="2" t="s">
        <v>22</v>
      </c>
      <c r="O50" s="2" t="s">
        <v>100</v>
      </c>
      <c r="P50" s="2">
        <f ca="1">IF(표3[[#This Row],[고용일]]="","",(IF(표3[[#This Row],[퇴직일]]="",$Q$2-표3[[#This Row],[고용일]],표3[[#This Row],[퇴직일]]-표3[[#This Row],[고용일]])))</f>
        <v>272</v>
      </c>
      <c r="Q50" s="2"/>
      <c r="R50" s="2"/>
    </row>
    <row r="51" spans="1:18" x14ac:dyDescent="0.3">
      <c r="A51" s="13">
        <v>47</v>
      </c>
      <c r="B51" s="14" t="s">
        <v>104</v>
      </c>
      <c r="C51" s="13" t="s">
        <v>21</v>
      </c>
      <c r="D51" s="15">
        <v>29579</v>
      </c>
      <c r="E51" s="16" t="s">
        <v>108</v>
      </c>
      <c r="F51" s="17" t="s">
        <v>107</v>
      </c>
      <c r="G51" s="18">
        <v>40625</v>
      </c>
      <c r="H51" s="2" t="s">
        <v>25</v>
      </c>
      <c r="I51" s="2" t="s">
        <v>16</v>
      </c>
      <c r="J51" s="4"/>
      <c r="K51" s="2"/>
      <c r="L51" s="2">
        <v>45473</v>
      </c>
      <c r="M51" s="2"/>
      <c r="N51" s="2" t="s">
        <v>22</v>
      </c>
      <c r="O51" s="2" t="s">
        <v>106</v>
      </c>
      <c r="P51" s="2">
        <f>IF(표3[[#This Row],[고용일]]="","",(IF(표3[[#This Row],[퇴직일]]="",$Q$2-표3[[#This Row],[고용일]],표3[[#This Row],[퇴직일]]-표3[[#This Row],[고용일]])))</f>
        <v>4848</v>
      </c>
      <c r="Q51" s="2" t="s">
        <v>124</v>
      </c>
      <c r="R51" s="2"/>
    </row>
    <row r="52" spans="1:18" x14ac:dyDescent="0.3">
      <c r="A52" s="13">
        <v>48</v>
      </c>
      <c r="B52" s="14" t="s">
        <v>105</v>
      </c>
      <c r="C52" s="13" t="s">
        <v>21</v>
      </c>
      <c r="D52" s="15">
        <v>24479</v>
      </c>
      <c r="E52" s="16" t="s">
        <v>113</v>
      </c>
      <c r="F52" s="17" t="s">
        <v>114</v>
      </c>
      <c r="G52" s="18">
        <v>43528</v>
      </c>
      <c r="H52" s="2" t="s">
        <v>25</v>
      </c>
      <c r="I52" s="2" t="s">
        <v>16</v>
      </c>
      <c r="J52" s="4"/>
      <c r="K52" s="2"/>
      <c r="L52" s="2"/>
      <c r="M52" s="2"/>
      <c r="N52" s="2" t="s">
        <v>22</v>
      </c>
      <c r="O52" s="2" t="s">
        <v>102</v>
      </c>
      <c r="P52" s="2">
        <f ca="1">IF(표3[[#This Row],[고용일]]="","",(IF(표3[[#This Row],[퇴직일]]="",$Q$2-표3[[#This Row],[고용일]],표3[[#This Row],[퇴직일]]-표3[[#This Row],[고용일]])))</f>
        <v>2241</v>
      </c>
      <c r="Q52" s="2"/>
      <c r="R52" s="2"/>
    </row>
    <row r="53" spans="1:18" x14ac:dyDescent="0.3">
      <c r="A53" s="13">
        <v>49</v>
      </c>
      <c r="B53" s="14" t="s">
        <v>109</v>
      </c>
      <c r="C53" s="13" t="s">
        <v>21</v>
      </c>
      <c r="D53" s="15">
        <v>26712</v>
      </c>
      <c r="E53" s="16" t="s">
        <v>115</v>
      </c>
      <c r="F53" s="17" t="s">
        <v>116</v>
      </c>
      <c r="G53" s="18">
        <v>43906</v>
      </c>
      <c r="H53" s="2" t="s">
        <v>25</v>
      </c>
      <c r="I53" s="2" t="s">
        <v>16</v>
      </c>
      <c r="J53" s="4"/>
      <c r="K53" s="2"/>
      <c r="L53" s="2"/>
      <c r="M53" s="2"/>
      <c r="N53" s="2" t="s">
        <v>22</v>
      </c>
      <c r="O53" s="2" t="s">
        <v>101</v>
      </c>
      <c r="P53" s="2">
        <f ca="1">IF(표3[[#This Row],[고용일]]="","",(IF(표3[[#This Row],[퇴직일]]="",$Q$2-표3[[#This Row],[고용일]],표3[[#This Row],[퇴직일]]-표3[[#This Row],[고용일]])))</f>
        <v>1863</v>
      </c>
      <c r="Q53" s="2"/>
      <c r="R53" s="2"/>
    </row>
    <row r="54" spans="1:18" x14ac:dyDescent="0.3">
      <c r="A54" s="13">
        <v>50</v>
      </c>
      <c r="B54" s="14" t="s">
        <v>110</v>
      </c>
      <c r="C54" s="13" t="s">
        <v>21</v>
      </c>
      <c r="D54" s="15">
        <v>23802</v>
      </c>
      <c r="E54" s="16" t="s">
        <v>117</v>
      </c>
      <c r="F54" s="17" t="s">
        <v>259</v>
      </c>
      <c r="G54" s="18">
        <v>43948</v>
      </c>
      <c r="H54" s="2" t="s">
        <v>25</v>
      </c>
      <c r="I54" s="2" t="s">
        <v>16</v>
      </c>
      <c r="J54" s="4"/>
      <c r="K54" s="2"/>
      <c r="L54" s="2"/>
      <c r="M54" s="2"/>
      <c r="N54" s="2" t="s">
        <v>22</v>
      </c>
      <c r="O54" s="2" t="s">
        <v>118</v>
      </c>
      <c r="P54" s="2">
        <f ca="1">IF(표3[[#This Row],[고용일]]="","",(IF(표3[[#This Row],[퇴직일]]="",$Q$2-표3[[#This Row],[고용일]],표3[[#This Row],[퇴직일]]-표3[[#This Row],[고용일]])))</f>
        <v>1821</v>
      </c>
      <c r="Q54" s="2"/>
      <c r="R54" s="2"/>
    </row>
    <row r="55" spans="1:18" x14ac:dyDescent="0.3">
      <c r="A55" s="13">
        <v>51</v>
      </c>
      <c r="B55" s="14" t="s">
        <v>111</v>
      </c>
      <c r="C55" s="13" t="s">
        <v>21</v>
      </c>
      <c r="D55" s="15">
        <v>24614</v>
      </c>
      <c r="E55" s="16" t="s">
        <v>119</v>
      </c>
      <c r="F55" s="17" t="s">
        <v>260</v>
      </c>
      <c r="G55" s="18">
        <v>44760</v>
      </c>
      <c r="H55" s="2" t="s">
        <v>25</v>
      </c>
      <c r="I55" s="2" t="s">
        <v>16</v>
      </c>
      <c r="J55" s="4"/>
      <c r="K55" s="2"/>
      <c r="L55" s="2"/>
      <c r="M55" s="2"/>
      <c r="N55" s="2" t="s">
        <v>22</v>
      </c>
      <c r="O55" s="2" t="s">
        <v>120</v>
      </c>
      <c r="P55" s="2">
        <f ca="1">IF(표3[[#This Row],[고용일]]="","",(IF(표3[[#This Row],[퇴직일]]="",$Q$2-표3[[#This Row],[고용일]],표3[[#This Row],[퇴직일]]-표3[[#This Row],[고용일]])))</f>
        <v>1009</v>
      </c>
      <c r="Q55" s="2"/>
      <c r="R55" s="2"/>
    </row>
    <row r="56" spans="1:18" x14ac:dyDescent="0.3">
      <c r="A56" s="13">
        <v>52</v>
      </c>
      <c r="B56" s="14" t="s">
        <v>112</v>
      </c>
      <c r="C56" s="13" t="s">
        <v>21</v>
      </c>
      <c r="D56" s="15">
        <v>25945</v>
      </c>
      <c r="E56" s="16" t="s">
        <v>121</v>
      </c>
      <c r="F56" s="17" t="s">
        <v>122</v>
      </c>
      <c r="G56" s="18">
        <v>42605</v>
      </c>
      <c r="H56" s="2" t="s">
        <v>25</v>
      </c>
      <c r="I56" s="2" t="s">
        <v>16</v>
      </c>
      <c r="J56" s="4"/>
      <c r="K56" s="2"/>
      <c r="L56" s="2"/>
      <c r="M56" s="2"/>
      <c r="N56" s="2" t="s">
        <v>22</v>
      </c>
      <c r="O56" s="2" t="s">
        <v>123</v>
      </c>
      <c r="P56" s="2">
        <f ca="1">IF(표3[[#This Row],[고용일]]="","",(IF(표3[[#This Row],[퇴직일]]="",$Q$2-표3[[#This Row],[고용일]],표3[[#This Row],[퇴직일]]-표3[[#This Row],[고용일]])))</f>
        <v>3164</v>
      </c>
      <c r="Q56" s="2"/>
      <c r="R56" s="2"/>
    </row>
    <row r="57" spans="1:18" x14ac:dyDescent="0.3">
      <c r="A57" s="13">
        <v>53</v>
      </c>
      <c r="B57" s="14" t="s">
        <v>261</v>
      </c>
      <c r="C57" s="13" t="s">
        <v>21</v>
      </c>
      <c r="D57" s="15">
        <v>33774</v>
      </c>
      <c r="E57" s="16" t="s">
        <v>262</v>
      </c>
      <c r="F57" s="17" t="s">
        <v>263</v>
      </c>
      <c r="G57" s="18">
        <v>45754</v>
      </c>
      <c r="H57" s="2" t="s">
        <v>25</v>
      </c>
      <c r="I57" s="2" t="s">
        <v>16</v>
      </c>
      <c r="J57" s="4"/>
      <c r="K57" s="2"/>
      <c r="L57" s="2"/>
      <c r="M57" s="2"/>
      <c r="N57" s="2" t="s">
        <v>22</v>
      </c>
      <c r="O57" s="2" t="s">
        <v>264</v>
      </c>
      <c r="P57" s="2">
        <f ca="1">IF(표3[[#This Row],[고용일]]="","",(IF(표3[[#This Row],[퇴직일]]="",$Q$2-표3[[#This Row],[고용일]],표3[[#This Row],[퇴직일]]-표3[[#This Row],[고용일]])))</f>
        <v>15</v>
      </c>
      <c r="Q57" s="2"/>
      <c r="R57" s="2"/>
    </row>
    <row r="58" spans="1:18" x14ac:dyDescent="0.3">
      <c r="A58" s="13">
        <v>54</v>
      </c>
      <c r="B58" s="14"/>
      <c r="C58" s="13"/>
      <c r="D58" s="15"/>
      <c r="E58" s="16"/>
      <c r="F58" s="17"/>
      <c r="G58" s="18"/>
      <c r="H58" s="2"/>
      <c r="I58" s="2"/>
      <c r="J58" s="4"/>
      <c r="K58" s="2"/>
      <c r="L58" s="2"/>
      <c r="M58" s="2"/>
      <c r="N58" s="2"/>
      <c r="O58" s="2"/>
      <c r="P58" s="2" t="str">
        <f>IF(표3[[#This Row],[고용일]]="","",(IF(표3[[#This Row],[퇴직일]]="",$Q$2-표3[[#This Row],[고용일]],표3[[#This Row],[퇴직일]]-표3[[#This Row],[고용일]])))</f>
        <v/>
      </c>
      <c r="Q58" s="2"/>
      <c r="R58" s="2"/>
    </row>
    <row r="59" spans="1:18" x14ac:dyDescent="0.3">
      <c r="A59" s="13">
        <v>55</v>
      </c>
      <c r="B59" s="14"/>
      <c r="C59" s="13"/>
      <c r="D59" s="15"/>
      <c r="E59" s="16"/>
      <c r="F59" s="17"/>
      <c r="G59" s="18"/>
      <c r="H59" s="2"/>
      <c r="I59" s="2"/>
      <c r="J59" s="4"/>
      <c r="K59" s="2"/>
      <c r="L59" s="2"/>
      <c r="M59" s="2"/>
      <c r="N59" s="2"/>
      <c r="O59" s="2"/>
      <c r="P59" s="2" t="str">
        <f>IF(표3[[#This Row],[고용일]]="","",(IF(표3[[#This Row],[퇴직일]]="",$Q$2-표3[[#This Row],[고용일]],표3[[#This Row],[퇴직일]]-표3[[#This Row],[고용일]])))</f>
        <v/>
      </c>
      <c r="Q59" s="2"/>
      <c r="R59" s="2"/>
    </row>
    <row r="60" spans="1:18" x14ac:dyDescent="0.3">
      <c r="A60" s="13">
        <v>56</v>
      </c>
      <c r="B60" s="14"/>
      <c r="C60" s="13"/>
      <c r="D60" s="15"/>
      <c r="E60" s="16"/>
      <c r="F60" s="17"/>
      <c r="G60" s="18"/>
      <c r="H60" s="2"/>
      <c r="I60" s="2"/>
      <c r="J60" s="4"/>
      <c r="K60" s="2"/>
      <c r="L60" s="2"/>
      <c r="M60" s="2"/>
      <c r="N60" s="2"/>
      <c r="O60" s="2"/>
      <c r="P60" s="2" t="str">
        <f>IF(표3[[#This Row],[고용일]]="","",(IF(표3[[#This Row],[퇴직일]]="",$Q$2-표3[[#This Row],[고용일]],표3[[#This Row],[퇴직일]]-표3[[#This Row],[고용일]])))</f>
        <v/>
      </c>
      <c r="Q60" s="2"/>
      <c r="R60" s="2"/>
    </row>
    <row r="61" spans="1:18" x14ac:dyDescent="0.3">
      <c r="A61" s="13">
        <v>57</v>
      </c>
      <c r="B61" s="14"/>
      <c r="C61" s="13"/>
      <c r="D61" s="15"/>
      <c r="E61" s="16"/>
      <c r="F61" s="17"/>
      <c r="G61" s="18"/>
      <c r="H61" s="2"/>
      <c r="I61" s="2"/>
      <c r="J61" s="4"/>
      <c r="K61" s="2"/>
      <c r="L61" s="2"/>
      <c r="M61" s="2"/>
      <c r="N61" s="2"/>
      <c r="O61" s="2"/>
      <c r="P61" s="2" t="str">
        <f>IF(표3[[#This Row],[고용일]]="","",(IF(표3[[#This Row],[퇴직일]]="",$Q$2-표3[[#This Row],[고용일]],표3[[#This Row],[퇴직일]]-표3[[#This Row],[고용일]])))</f>
        <v/>
      </c>
      <c r="Q61" s="2"/>
      <c r="R61" s="2"/>
    </row>
  </sheetData>
  <mergeCells count="3">
    <mergeCell ref="G3:N3"/>
    <mergeCell ref="O3:R3"/>
    <mergeCell ref="B3:F3"/>
  </mergeCells>
  <phoneticPr fontId="2" type="noConversion"/>
  <pageMargins left="0.31496062992125984" right="0.31496062992125984" top="0.35433070866141736" bottom="0.15748031496062992" header="0.31496062992125984" footer="0.31496062992125984"/>
  <pageSetup paperSize="9" scale="51" fitToHeight="0" orientation="landscape" r:id="rId1"/>
  <ignoredErrors>
    <ignoredError sqref="E5:E50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근로자명부</vt:lpstr>
      <vt:lpstr>근로자명부!Print_Area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권순일</dc:creator>
  <cp:lastModifiedBy>정상익</cp:lastModifiedBy>
  <cp:lastPrinted>2025-04-22T05:41:32Z</cp:lastPrinted>
  <dcterms:created xsi:type="dcterms:W3CDTF">2021-04-08T02:05:26Z</dcterms:created>
  <dcterms:modified xsi:type="dcterms:W3CDTF">2025-04-22T05:41:34Z</dcterms:modified>
</cp:coreProperties>
</file>